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filterPrivacy="1" codeName="ThisWorkbook"/>
  <xr:revisionPtr revIDLastSave="0" documentId="13_ncr:1_{1E74B473-F496-7D42-9498-9DE45433F3C1}" xr6:coauthVersionLast="47" xr6:coauthVersionMax="47" xr10:uidLastSave="{00000000-0000-0000-0000-000000000000}"/>
  <bookViews>
    <workbookView xWindow="-36700" yWindow="760" windowWidth="37300" windowHeight="21100" activeTab="9" xr2:uid="{00000000-000D-0000-FFFF-FFFF00000000}"/>
  </bookViews>
  <sheets>
    <sheet name="Sheet3" sheetId="6" state="hidden" r:id="rId1"/>
    <sheet name="スケジュール_ベース" sheetId="10" r:id="rId2"/>
    <sheet name="プラン１" sheetId="5" r:id="rId3"/>
    <sheet name="スケジュール_プラン１" sheetId="4" r:id="rId4"/>
    <sheet name="プラン２" sheetId="7" r:id="rId5"/>
    <sheet name="スケジュール_プラン2" sheetId="8" r:id="rId6"/>
    <sheet name="プラン3" sheetId="11" r:id="rId7"/>
    <sheet name="プラン4" sheetId="12" r:id="rId8"/>
    <sheet name="スケジュール_プラン4" sheetId="13" r:id="rId9"/>
    <sheet name="プラン5" sheetId="14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8" i="13" l="1"/>
  <c r="AE9" i="13"/>
  <c r="AE10" i="13"/>
  <c r="AE11" i="13"/>
  <c r="AE12" i="13"/>
  <c r="AE13" i="13"/>
  <c r="AE14" i="13"/>
  <c r="AE15" i="13"/>
  <c r="AE16" i="13"/>
  <c r="AE17" i="13"/>
  <c r="AE18" i="13"/>
  <c r="AE19" i="13"/>
  <c r="AE20" i="13"/>
  <c r="AE21" i="13"/>
  <c r="AE22" i="13"/>
  <c r="AE23" i="13"/>
  <c r="AE24" i="13"/>
  <c r="AE25" i="13"/>
  <c r="AE26" i="13"/>
  <c r="AE27" i="13"/>
  <c r="AE28" i="13"/>
  <c r="AE7" i="13"/>
  <c r="P4" i="12" l="1"/>
  <c r="AM24" i="13"/>
  <c r="AM25" i="13"/>
  <c r="AM26" i="13"/>
  <c r="AM27" i="13"/>
  <c r="AM28" i="13"/>
  <c r="M7" i="14"/>
  <c r="M6" i="14"/>
  <c r="M5" i="14"/>
  <c r="M4" i="14"/>
  <c r="R19" i="14"/>
  <c r="S19" i="14"/>
  <c r="Q19" i="14"/>
  <c r="I28" i="14"/>
  <c r="P6" i="12"/>
  <c r="P5" i="12"/>
  <c r="L30" i="12"/>
  <c r="L21" i="12"/>
  <c r="L10" i="12"/>
  <c r="M5" i="12"/>
  <c r="M6" i="12"/>
  <c r="M7" i="12"/>
  <c r="M8" i="12"/>
  <c r="M9" i="12"/>
  <c r="M12" i="12"/>
  <c r="M13" i="12"/>
  <c r="M14" i="12"/>
  <c r="M15" i="12"/>
  <c r="M16" i="12"/>
  <c r="M17" i="12"/>
  <c r="M18" i="12"/>
  <c r="M19" i="12"/>
  <c r="M20" i="12"/>
  <c r="M23" i="12"/>
  <c r="M24" i="12"/>
  <c r="M25" i="12"/>
  <c r="M26" i="12"/>
  <c r="M27" i="12"/>
  <c r="M28" i="12"/>
  <c r="M29" i="12"/>
  <c r="M4" i="12"/>
  <c r="V18" i="12"/>
  <c r="U18" i="12"/>
  <c r="T18" i="12"/>
  <c r="S18" i="12"/>
  <c r="R18" i="12"/>
  <c r="Q18" i="12"/>
  <c r="I17" i="14"/>
  <c r="I18" i="14"/>
  <c r="E26" i="14"/>
  <c r="I25" i="14"/>
  <c r="I24" i="14"/>
  <c r="I23" i="14"/>
  <c r="I22" i="14"/>
  <c r="I21" i="14"/>
  <c r="E19" i="14"/>
  <c r="I16" i="14"/>
  <c r="I15" i="14"/>
  <c r="I14" i="14"/>
  <c r="I13" i="14"/>
  <c r="I12" i="14"/>
  <c r="I11" i="14"/>
  <c r="E9" i="14"/>
  <c r="I8" i="14"/>
  <c r="I7" i="14"/>
  <c r="I6" i="14"/>
  <c r="I5" i="14"/>
  <c r="I4" i="14"/>
  <c r="I20" i="12"/>
  <c r="E30" i="12"/>
  <c r="I29" i="12"/>
  <c r="E21" i="12"/>
  <c r="I19" i="12"/>
  <c r="E10" i="12"/>
  <c r="I9" i="12"/>
  <c r="AM35" i="13"/>
  <c r="AM34" i="13"/>
  <c r="AM33" i="13"/>
  <c r="AM32" i="13"/>
  <c r="AM31" i="13"/>
  <c r="AM30" i="13"/>
  <c r="AM29" i="13"/>
  <c r="AM23" i="13"/>
  <c r="AM22" i="13"/>
  <c r="AM21" i="13"/>
  <c r="AM20" i="13"/>
  <c r="AM19" i="13"/>
  <c r="AM18" i="13"/>
  <c r="AM17" i="13"/>
  <c r="AM16" i="13"/>
  <c r="AM15" i="13"/>
  <c r="AM14" i="13"/>
  <c r="AM13" i="13"/>
  <c r="AM12" i="13"/>
  <c r="AM11" i="13"/>
  <c r="AM10" i="13"/>
  <c r="AM9" i="13"/>
  <c r="AM8" i="13"/>
  <c r="AM7" i="13"/>
  <c r="AQ5" i="13"/>
  <c r="AQ6" i="13" s="1"/>
  <c r="AQ4" i="13"/>
  <c r="I28" i="12"/>
  <c r="I27" i="12"/>
  <c r="I26" i="12"/>
  <c r="I25" i="12"/>
  <c r="I24" i="12"/>
  <c r="I23" i="12"/>
  <c r="I18" i="12"/>
  <c r="I17" i="12"/>
  <c r="I16" i="12"/>
  <c r="I15" i="12"/>
  <c r="I14" i="12"/>
  <c r="I13" i="12"/>
  <c r="I12" i="12"/>
  <c r="I8" i="12"/>
  <c r="I7" i="12"/>
  <c r="I6" i="12"/>
  <c r="I5" i="12"/>
  <c r="I4" i="12"/>
  <c r="R15" i="11"/>
  <c r="S15" i="11"/>
  <c r="Q15" i="11"/>
  <c r="P15" i="11"/>
  <c r="O15" i="11"/>
  <c r="N15" i="11"/>
  <c r="E26" i="11"/>
  <c r="I25" i="11"/>
  <c r="L28" i="11"/>
  <c r="I24" i="11"/>
  <c r="I23" i="11"/>
  <c r="I22" i="11"/>
  <c r="I21" i="11"/>
  <c r="I20" i="11"/>
  <c r="E18" i="11"/>
  <c r="I17" i="11"/>
  <c r="I16" i="11"/>
  <c r="I15" i="11"/>
  <c r="I14" i="11"/>
  <c r="I13" i="11"/>
  <c r="I12" i="11"/>
  <c r="I11" i="11"/>
  <c r="E9" i="11"/>
  <c r="I8" i="11"/>
  <c r="I7" i="11"/>
  <c r="I6" i="11"/>
  <c r="I5" i="11"/>
  <c r="I4" i="11"/>
  <c r="L21" i="7"/>
  <c r="L17" i="7"/>
  <c r="Q12" i="7"/>
  <c r="I11" i="7"/>
  <c r="I12" i="7"/>
  <c r="I13" i="7"/>
  <c r="I14" i="7"/>
  <c r="I15" i="7"/>
  <c r="I16" i="7"/>
  <c r="I17" i="7"/>
  <c r="I20" i="7"/>
  <c r="I21" i="7"/>
  <c r="I22" i="7"/>
  <c r="I23" i="7"/>
  <c r="I24" i="7"/>
  <c r="I5" i="7"/>
  <c r="I6" i="7"/>
  <c r="I7" i="7"/>
  <c r="I8" i="7"/>
  <c r="I4" i="7"/>
  <c r="N12" i="7"/>
  <c r="O12" i="7"/>
  <c r="R12" i="7"/>
  <c r="L24" i="5"/>
  <c r="L23" i="5"/>
  <c r="L22" i="5"/>
  <c r="E24" i="5"/>
  <c r="AM35" i="10"/>
  <c r="AM34" i="10"/>
  <c r="AM33" i="10"/>
  <c r="AM32" i="10"/>
  <c r="AM31" i="10"/>
  <c r="AM30" i="10"/>
  <c r="AM29" i="10"/>
  <c r="AM28" i="10"/>
  <c r="AM27" i="10"/>
  <c r="AM26" i="10"/>
  <c r="AM25" i="10"/>
  <c r="AM24" i="10"/>
  <c r="AM23" i="10"/>
  <c r="AM22" i="10"/>
  <c r="AM21" i="10"/>
  <c r="AM20" i="10"/>
  <c r="AM19" i="10"/>
  <c r="AM18" i="10"/>
  <c r="AM17" i="10"/>
  <c r="AM16" i="10"/>
  <c r="AM15" i="10"/>
  <c r="AM14" i="10"/>
  <c r="AM13" i="10"/>
  <c r="AM12" i="10"/>
  <c r="AM11" i="10"/>
  <c r="AM10" i="10"/>
  <c r="AM9" i="10"/>
  <c r="AM8" i="10"/>
  <c r="AM36" i="10" s="1"/>
  <c r="AM7" i="10"/>
  <c r="AQ5" i="10"/>
  <c r="AR5" i="10" s="1"/>
  <c r="AQ4" i="10"/>
  <c r="BB5" i="8"/>
  <c r="AE8" i="8"/>
  <c r="AE9" i="8"/>
  <c r="AE10" i="8"/>
  <c r="AE11" i="8"/>
  <c r="AE12" i="8"/>
  <c r="AE13" i="8"/>
  <c r="AE14" i="8"/>
  <c r="AE15" i="8"/>
  <c r="AE16" i="8"/>
  <c r="AE17" i="8"/>
  <c r="AE18" i="8"/>
  <c r="AE19" i="8"/>
  <c r="AE20" i="8"/>
  <c r="AE21" i="8"/>
  <c r="AE22" i="8"/>
  <c r="AE23" i="8"/>
  <c r="AE7" i="8"/>
  <c r="AE7" i="4"/>
  <c r="M19" i="5"/>
  <c r="M18" i="5"/>
  <c r="M20" i="5" s="1"/>
  <c r="K18" i="5"/>
  <c r="K20" i="5" s="1"/>
  <c r="E18" i="5"/>
  <c r="E20" i="5" s="1"/>
  <c r="L17" i="5"/>
  <c r="J17" i="5"/>
  <c r="J16" i="5"/>
  <c r="L16" i="5" s="1"/>
  <c r="J15" i="5"/>
  <c r="L15" i="5" s="1"/>
  <c r="J14" i="5"/>
  <c r="L14" i="5" s="1"/>
  <c r="L13" i="5"/>
  <c r="K13" i="5"/>
  <c r="J13" i="5"/>
  <c r="J12" i="5"/>
  <c r="L12" i="5" s="1"/>
  <c r="J11" i="5"/>
  <c r="L11" i="5" s="1"/>
  <c r="E9" i="5"/>
  <c r="L8" i="5"/>
  <c r="J8" i="5"/>
  <c r="G8" i="5"/>
  <c r="J7" i="5"/>
  <c r="L7" i="5" s="1"/>
  <c r="J6" i="5"/>
  <c r="L6" i="5" s="1"/>
  <c r="J5" i="5"/>
  <c r="L5" i="5" s="1"/>
  <c r="J4" i="5"/>
  <c r="L4" i="5" s="1"/>
  <c r="AE8" i="4"/>
  <c r="AE9" i="4"/>
  <c r="AE10" i="4"/>
  <c r="AE11" i="4"/>
  <c r="AE12" i="4"/>
  <c r="AE13" i="4"/>
  <c r="AE14" i="4"/>
  <c r="AE15" i="4"/>
  <c r="AE16" i="4"/>
  <c r="AE17" i="4"/>
  <c r="AE18" i="4"/>
  <c r="M32" i="12" l="1"/>
  <c r="I32" i="12"/>
  <c r="R14" i="12" s="1"/>
  <c r="T14" i="12" s="1"/>
  <c r="I28" i="11"/>
  <c r="O11" i="11" s="1"/>
  <c r="Q11" i="11" s="1"/>
  <c r="E28" i="14"/>
  <c r="E32" i="12"/>
  <c r="AM36" i="13"/>
  <c r="AR5" i="13"/>
  <c r="E28" i="11"/>
  <c r="AS5" i="10"/>
  <c r="AR6" i="10"/>
  <c r="AR4" i="10"/>
  <c r="AQ6" i="10"/>
  <c r="AS5" i="13" l="1"/>
  <c r="AR4" i="13"/>
  <c r="AR6" i="13"/>
  <c r="AT5" i="10"/>
  <c r="AS4" i="10"/>
  <c r="AS6" i="10"/>
  <c r="L27" i="7"/>
  <c r="E25" i="7"/>
  <c r="E18" i="7"/>
  <c r="E9" i="7"/>
  <c r="AT5" i="13" l="1"/>
  <c r="AS4" i="13"/>
  <c r="AS6" i="13"/>
  <c r="E27" i="7"/>
  <c r="L12" i="7"/>
  <c r="AU5" i="10"/>
  <c r="AT4" i="10"/>
  <c r="AT6" i="10"/>
  <c r="AU5" i="13" l="1"/>
  <c r="AT4" i="13"/>
  <c r="AT6" i="13"/>
  <c r="AV5" i="10"/>
  <c r="AU6" i="10"/>
  <c r="AV5" i="13" l="1"/>
  <c r="AU6" i="13"/>
  <c r="AV6" i="10"/>
  <c r="AV4" i="10"/>
  <c r="AW5" i="10"/>
  <c r="AW5" i="13" l="1"/>
  <c r="AV6" i="13"/>
  <c r="AV4" i="13"/>
  <c r="AX5" i="10"/>
  <c r="AW6" i="10"/>
  <c r="AW4" i="10"/>
  <c r="AW4" i="13" l="1"/>
  <c r="AW6" i="13"/>
  <c r="AX5" i="13"/>
  <c r="AX6" i="10"/>
  <c r="AY5" i="10"/>
  <c r="AX4" i="10"/>
  <c r="AY5" i="13" l="1"/>
  <c r="AX6" i="13"/>
  <c r="AX4" i="13"/>
  <c r="AZ5" i="10"/>
  <c r="AY6" i="10"/>
  <c r="AY4" i="10"/>
  <c r="AY6" i="13" l="1"/>
  <c r="AY4" i="13"/>
  <c r="AZ5" i="13"/>
  <c r="BA5" i="10"/>
  <c r="AZ6" i="10"/>
  <c r="AZ4" i="10"/>
  <c r="BA5" i="13" l="1"/>
  <c r="AZ6" i="13"/>
  <c r="AZ4" i="13"/>
  <c r="BA6" i="10"/>
  <c r="BA4" i="10"/>
  <c r="BB5" i="10"/>
  <c r="BB5" i="13" l="1"/>
  <c r="BA6" i="13"/>
  <c r="BA4" i="13"/>
  <c r="BC5" i="10"/>
  <c r="BB6" i="10"/>
  <c r="BB4" i="10"/>
  <c r="BC5" i="13" l="1"/>
  <c r="BB6" i="13"/>
  <c r="BB4" i="13"/>
  <c r="BD5" i="10"/>
  <c r="BC6" i="10"/>
  <c r="BC4" i="10"/>
  <c r="BD5" i="13" l="1"/>
  <c r="BC6" i="13"/>
  <c r="BC4" i="13"/>
  <c r="BD6" i="10"/>
  <c r="BD4" i="10"/>
  <c r="BE5" i="10"/>
  <c r="BD6" i="13" l="1"/>
  <c r="BD4" i="13"/>
  <c r="BE5" i="13"/>
  <c r="BE6" i="10"/>
  <c r="BE4" i="10"/>
  <c r="BF5" i="10"/>
  <c r="BE6" i="13" l="1"/>
  <c r="BE4" i="13"/>
  <c r="BF5" i="13"/>
  <c r="BG5" i="10"/>
  <c r="BF4" i="10"/>
  <c r="BF6" i="10"/>
  <c r="BG5" i="13" l="1"/>
  <c r="BF6" i="13"/>
  <c r="BF4" i="13"/>
  <c r="BH5" i="10"/>
  <c r="BG6" i="10"/>
  <c r="BG4" i="10"/>
  <c r="BG6" i="13" l="1"/>
  <c r="BG4" i="13"/>
  <c r="BH5" i="13"/>
  <c r="BI5" i="10"/>
  <c r="BH6" i="10"/>
  <c r="BH4" i="10"/>
  <c r="BI5" i="13" l="1"/>
  <c r="BH6" i="13"/>
  <c r="BH4" i="13"/>
  <c r="BI4" i="10"/>
  <c r="BI6" i="10"/>
  <c r="BJ5" i="10"/>
  <c r="BJ5" i="13" l="1"/>
  <c r="BI6" i="13"/>
  <c r="BI4" i="13"/>
  <c r="BK5" i="10"/>
  <c r="BJ6" i="10"/>
  <c r="BJ4" i="10"/>
  <c r="BK5" i="13" l="1"/>
  <c r="BJ6" i="13"/>
  <c r="BJ4" i="13"/>
  <c r="BL5" i="10"/>
  <c r="BK6" i="10"/>
  <c r="BK4" i="10"/>
  <c r="BL5" i="13" l="1"/>
  <c r="BK6" i="13"/>
  <c r="BK4" i="13"/>
  <c r="BL6" i="10"/>
  <c r="BL4" i="10"/>
  <c r="BM5" i="10"/>
  <c r="BL6" i="13" l="1"/>
  <c r="BL4" i="13"/>
  <c r="BM5" i="13"/>
  <c r="BN5" i="10"/>
  <c r="BM6" i="10"/>
  <c r="BM4" i="10"/>
  <c r="BM4" i="13" l="1"/>
  <c r="BM6" i="13"/>
  <c r="BN5" i="13"/>
  <c r="BO5" i="10"/>
  <c r="BN4" i="10"/>
  <c r="BN6" i="10"/>
  <c r="BO5" i="13" l="1"/>
  <c r="BN6" i="13"/>
  <c r="BN4" i="13"/>
  <c r="BP5" i="10"/>
  <c r="BO4" i="10"/>
  <c r="BO6" i="10"/>
  <c r="BO6" i="13" l="1"/>
  <c r="BO4" i="13"/>
  <c r="BP5" i="13"/>
  <c r="BQ5" i="10"/>
  <c r="BP6" i="10"/>
  <c r="BP4" i="10"/>
  <c r="BQ5" i="13" l="1"/>
  <c r="BP6" i="13"/>
  <c r="BP4" i="13"/>
  <c r="BQ6" i="10"/>
  <c r="BR5" i="10"/>
  <c r="BQ4" i="10"/>
  <c r="BR5" i="13" l="1"/>
  <c r="BQ6" i="13"/>
  <c r="BQ4" i="13"/>
  <c r="BS5" i="10"/>
  <c r="BR6" i="10"/>
  <c r="BR4" i="10"/>
  <c r="BS5" i="13" l="1"/>
  <c r="BR6" i="13"/>
  <c r="BR4" i="13"/>
  <c r="BT5" i="10"/>
  <c r="BS6" i="10"/>
  <c r="BS4" i="10"/>
  <c r="BT5" i="13" l="1"/>
  <c r="BS6" i="13"/>
  <c r="BS4" i="13"/>
  <c r="BT6" i="10"/>
  <c r="BT4" i="10"/>
  <c r="BU5" i="10"/>
  <c r="BT6" i="13" l="1"/>
  <c r="BT4" i="13"/>
  <c r="BU5" i="13"/>
  <c r="BV5" i="10"/>
  <c r="BU6" i="10"/>
  <c r="BU4" i="10"/>
  <c r="BU6" i="13" l="1"/>
  <c r="BU4" i="13"/>
  <c r="BV5" i="13"/>
  <c r="BV6" i="10"/>
  <c r="BW5" i="10"/>
  <c r="BV4" i="10"/>
  <c r="BW5" i="13" l="1"/>
  <c r="BV6" i="13"/>
  <c r="BV4" i="13"/>
  <c r="BX5" i="10"/>
  <c r="BW6" i="10"/>
  <c r="BW4" i="10"/>
  <c r="BW6" i="13" l="1"/>
  <c r="BW4" i="13"/>
  <c r="BX5" i="13"/>
  <c r="BX6" i="10"/>
  <c r="BX4" i="10"/>
  <c r="BY5" i="10"/>
  <c r="BY5" i="13" l="1"/>
  <c r="BX6" i="13"/>
  <c r="BX4" i="13"/>
  <c r="BY6" i="10"/>
  <c r="BY4" i="10"/>
  <c r="BZ5" i="10"/>
  <c r="BZ5" i="13" l="1"/>
  <c r="BY6" i="13"/>
  <c r="BY4" i="13"/>
  <c r="CA5" i="10"/>
  <c r="BZ6" i="10"/>
  <c r="BZ4" i="10"/>
  <c r="CA5" i="13" l="1"/>
  <c r="BZ6" i="13"/>
  <c r="BZ4" i="13"/>
  <c r="CB5" i="10"/>
  <c r="CA6" i="10"/>
  <c r="CA4" i="10"/>
  <c r="CB5" i="13" l="1"/>
  <c r="CA6" i="13"/>
  <c r="CA4" i="13"/>
  <c r="CB6" i="10"/>
  <c r="CB4" i="10"/>
  <c r="CC5" i="10"/>
  <c r="CB6" i="13" l="1"/>
  <c r="CB4" i="13"/>
  <c r="CC5" i="13"/>
  <c r="CC6" i="10"/>
  <c r="CC4" i="10"/>
  <c r="CD5" i="10"/>
  <c r="CC6" i="13" l="1"/>
  <c r="CC4" i="13"/>
  <c r="CD5" i="13"/>
  <c r="CE5" i="10"/>
  <c r="CD4" i="10"/>
  <c r="CD6" i="10"/>
  <c r="CE5" i="13" l="1"/>
  <c r="CD6" i="13"/>
  <c r="CD4" i="13"/>
  <c r="CE6" i="10"/>
  <c r="CE4" i="10"/>
  <c r="CF5" i="10"/>
  <c r="CE6" i="13" l="1"/>
  <c r="CE4" i="13"/>
  <c r="CF5" i="13"/>
  <c r="CG5" i="10"/>
  <c r="CF6" i="10"/>
  <c r="CF4" i="10"/>
  <c r="CG5" i="13" l="1"/>
  <c r="CF6" i="13"/>
  <c r="CF4" i="13"/>
  <c r="CG4" i="10"/>
  <c r="CG6" i="10"/>
  <c r="CH5" i="10"/>
  <c r="CH5" i="13" l="1"/>
  <c r="CG6" i="13"/>
  <c r="CG4" i="13"/>
  <c r="CI5" i="10"/>
  <c r="CH6" i="10"/>
  <c r="CH4" i="10"/>
  <c r="CI5" i="13" l="1"/>
  <c r="CH6" i="13"/>
  <c r="CH4" i="13"/>
  <c r="CJ5" i="10"/>
  <c r="CI6" i="10"/>
  <c r="CI4" i="10"/>
  <c r="CJ5" i="13" l="1"/>
  <c r="CI6" i="13"/>
  <c r="CI4" i="13"/>
  <c r="CJ6" i="10"/>
  <c r="CJ4" i="10"/>
  <c r="CK5" i="10"/>
  <c r="CK5" i="13" l="1"/>
  <c r="CJ6" i="13"/>
  <c r="CJ4" i="13"/>
  <c r="CL5" i="10"/>
  <c r="CK6" i="10"/>
  <c r="CK4" i="10"/>
  <c r="CK6" i="13" l="1"/>
  <c r="CK4" i="13"/>
  <c r="CL5" i="13"/>
  <c r="CM5" i="10"/>
  <c r="CL4" i="10"/>
  <c r="CL6" i="10"/>
  <c r="CM5" i="13" l="1"/>
  <c r="CL6" i="13"/>
  <c r="CL4" i="13"/>
  <c r="CN5" i="10"/>
  <c r="CM6" i="10"/>
  <c r="CM4" i="10"/>
  <c r="CM6" i="13" l="1"/>
  <c r="CM4" i="13"/>
  <c r="CN5" i="13"/>
  <c r="CO5" i="10"/>
  <c r="CN4" i="10"/>
  <c r="CN6" i="10"/>
  <c r="CO5" i="13" l="1"/>
  <c r="CN6" i="13"/>
  <c r="CN4" i="13"/>
  <c r="CO6" i="10"/>
  <c r="CP5" i="10"/>
  <c r="CO4" i="10"/>
  <c r="CP5" i="13" l="1"/>
  <c r="CO6" i="13"/>
  <c r="CO4" i="13"/>
  <c r="CQ5" i="10"/>
  <c r="CP6" i="10"/>
  <c r="CP4" i="10"/>
  <c r="CQ5" i="13" l="1"/>
  <c r="CP6" i="13"/>
  <c r="CP4" i="13"/>
  <c r="CR5" i="10"/>
  <c r="CQ6" i="10"/>
  <c r="CQ4" i="10"/>
  <c r="CR5" i="13" l="1"/>
  <c r="CQ6" i="13"/>
  <c r="CQ4" i="13"/>
  <c r="CR6" i="10"/>
  <c r="CR4" i="10"/>
  <c r="CS5" i="10"/>
  <c r="CR6" i="13" l="1"/>
  <c r="CR4" i="13"/>
  <c r="CS5" i="13"/>
  <c r="CT5" i="10"/>
  <c r="CS6" i="10"/>
  <c r="CS4" i="10"/>
  <c r="CS4" i="13" l="1"/>
  <c r="CS6" i="13"/>
  <c r="CT5" i="13"/>
  <c r="CT6" i="10"/>
  <c r="CU5" i="10"/>
  <c r="CT4" i="10"/>
  <c r="CU5" i="13" l="1"/>
  <c r="CT6" i="13"/>
  <c r="CT4" i="13"/>
  <c r="CU6" i="10"/>
  <c r="CU4" i="10"/>
  <c r="CV5" i="10"/>
  <c r="CU6" i="13" l="1"/>
  <c r="CU4" i="13"/>
  <c r="CV5" i="13"/>
  <c r="CW5" i="10"/>
  <c r="CV6" i="10"/>
  <c r="CV4" i="10"/>
  <c r="CW5" i="13" l="1"/>
  <c r="CV6" i="13"/>
  <c r="CV4" i="13"/>
  <c r="CW6" i="10"/>
  <c r="CW4" i="10"/>
  <c r="CX5" i="10"/>
  <c r="CX5" i="13" l="1"/>
  <c r="CW6" i="13"/>
  <c r="CW4" i="13"/>
  <c r="CY5" i="10"/>
  <c r="CX6" i="10"/>
  <c r="CX4" i="10"/>
  <c r="CY5" i="13" l="1"/>
  <c r="CX6" i="13"/>
  <c r="CX4" i="13"/>
  <c r="CZ5" i="10"/>
  <c r="CY6" i="10"/>
  <c r="CY4" i="10"/>
  <c r="CZ5" i="13" l="1"/>
  <c r="CY6" i="13"/>
  <c r="CY4" i="13"/>
  <c r="CZ6" i="10"/>
  <c r="CZ4" i="10"/>
  <c r="DA5" i="10"/>
  <c r="CZ6" i="13" l="1"/>
  <c r="CZ4" i="13"/>
  <c r="DA5" i="13"/>
  <c r="DB5" i="10"/>
  <c r="DA6" i="10"/>
  <c r="DA4" i="10"/>
  <c r="DA6" i="13" l="1"/>
  <c r="DA4" i="13"/>
  <c r="DB5" i="13"/>
  <c r="DB6" i="10"/>
  <c r="DB4" i="10"/>
  <c r="DB6" i="13" l="1"/>
  <c r="DB4" i="13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M7" i="8"/>
  <c r="AQ5" i="8"/>
  <c r="AR5" i="8" s="1"/>
  <c r="AQ4" i="8"/>
  <c r="AM7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8" i="4"/>
  <c r="AM9" i="4"/>
  <c r="AQ4" i="4"/>
  <c r="AM36" i="8" l="1"/>
  <c r="AR6" i="8"/>
  <c r="AS5" i="8"/>
  <c r="AR4" i="8"/>
  <c r="AQ6" i="8"/>
  <c r="AM36" i="4"/>
  <c r="AQ5" i="4"/>
  <c r="AT5" i="8" l="1"/>
  <c r="AS4" i="8"/>
  <c r="AS6" i="8"/>
  <c r="AR5" i="4"/>
  <c r="AU5" i="8" l="1"/>
  <c r="AT4" i="8"/>
  <c r="AT6" i="8"/>
  <c r="AS5" i="4"/>
  <c r="AS4" i="4" s="1"/>
  <c r="AR4" i="4"/>
  <c r="AQ6" i="4"/>
  <c r="AR6" i="4"/>
  <c r="AV5" i="8" l="1"/>
  <c r="AU6" i="8"/>
  <c r="AS6" i="4"/>
  <c r="AT5" i="4"/>
  <c r="AT4" i="4" s="1"/>
  <c r="AV6" i="8" l="1"/>
  <c r="AV4" i="8"/>
  <c r="AW5" i="8"/>
  <c r="AU5" i="4"/>
  <c r="AU6" i="4" s="1"/>
  <c r="AT6" i="4"/>
  <c r="AX5" i="8" l="1"/>
  <c r="AW6" i="8"/>
  <c r="AW4" i="8"/>
  <c r="AV5" i="4"/>
  <c r="AV4" i="4" s="1"/>
  <c r="AY5" i="8" l="1"/>
  <c r="AX6" i="8"/>
  <c r="AX4" i="8"/>
  <c r="AV6" i="4"/>
  <c r="AW5" i="4"/>
  <c r="AW4" i="4" s="1"/>
  <c r="AZ5" i="8" l="1"/>
  <c r="AY6" i="8"/>
  <c r="AY4" i="8"/>
  <c r="AW6" i="4"/>
  <c r="AX5" i="4"/>
  <c r="AX4" i="4" s="1"/>
  <c r="BA5" i="8" l="1"/>
  <c r="AZ6" i="8"/>
  <c r="AZ4" i="8"/>
  <c r="AY5" i="4"/>
  <c r="AY4" i="4" s="1"/>
  <c r="AX6" i="4"/>
  <c r="BA6" i="8" l="1"/>
  <c r="BA4" i="8"/>
  <c r="AZ5" i="4"/>
  <c r="AZ4" i="4" s="1"/>
  <c r="AY6" i="4"/>
  <c r="BB6" i="8" l="1"/>
  <c r="BB4" i="8"/>
  <c r="BC5" i="8"/>
  <c r="AZ6" i="4"/>
  <c r="BA5" i="4"/>
  <c r="BA4" i="4" s="1"/>
  <c r="BD5" i="8" l="1"/>
  <c r="BC6" i="8"/>
  <c r="BC4" i="8"/>
  <c r="BA6" i="4"/>
  <c r="BB5" i="4"/>
  <c r="BB4" i="4" s="1"/>
  <c r="BD6" i="8" l="1"/>
  <c r="BD4" i="8"/>
  <c r="BE5" i="8"/>
  <c r="BC5" i="4"/>
  <c r="BC4" i="4" s="1"/>
  <c r="BB6" i="4"/>
  <c r="BF5" i="8" l="1"/>
  <c r="BE6" i="8"/>
  <c r="BE4" i="8"/>
  <c r="BC6" i="4"/>
  <c r="BD5" i="4"/>
  <c r="BD4" i="4" s="1"/>
  <c r="BF6" i="8" l="1"/>
  <c r="BF4" i="8"/>
  <c r="BG5" i="8"/>
  <c r="BD6" i="4"/>
  <c r="BE5" i="4"/>
  <c r="BE4" i="4" s="1"/>
  <c r="BE6" i="4"/>
  <c r="BH5" i="8" l="1"/>
  <c r="BI5" i="8" s="1"/>
  <c r="BJ5" i="8" s="1"/>
  <c r="BG6" i="8"/>
  <c r="BG4" i="8"/>
  <c r="BF5" i="4"/>
  <c r="BF4" i="4" s="1"/>
  <c r="BH6" i="8" l="1"/>
  <c r="BH4" i="8"/>
  <c r="BF6" i="4"/>
  <c r="BG5" i="4"/>
  <c r="BG4" i="4" s="1"/>
  <c r="BG6" i="4"/>
  <c r="BH5" i="4"/>
  <c r="BH4" i="4" s="1"/>
  <c r="BI5" i="4" l="1"/>
  <c r="BI4" i="4" s="1"/>
  <c r="BH6" i="4"/>
  <c r="BI6" i="4" l="1"/>
  <c r="BJ5" i="4"/>
  <c r="BJ4" i="4" s="1"/>
  <c r="BK5" i="4" l="1"/>
  <c r="BK4" i="4" s="1"/>
  <c r="BJ6" i="4"/>
  <c r="BL5" i="4" l="1"/>
  <c r="BL4" i="4" s="1"/>
  <c r="BK6" i="4"/>
  <c r="BL6" i="4" l="1"/>
  <c r="BM5" i="4"/>
  <c r="BM4" i="4" s="1"/>
  <c r="BM6" i="4" l="1"/>
  <c r="BN5" i="4"/>
  <c r="BN4" i="4" s="1"/>
  <c r="BO5" i="4" l="1"/>
  <c r="BO4" i="4" s="1"/>
  <c r="BN6" i="4"/>
  <c r="BP5" i="4" l="1"/>
  <c r="BP4" i="4" s="1"/>
  <c r="BO6" i="4"/>
  <c r="BP6" i="4" l="1"/>
  <c r="BQ5" i="4"/>
  <c r="BQ4" i="4" s="1"/>
  <c r="BR5" i="4" l="1"/>
  <c r="BR4" i="4" s="1"/>
  <c r="BQ6" i="4"/>
  <c r="BS5" i="4" l="1"/>
  <c r="BS4" i="4" s="1"/>
  <c r="BR6" i="4"/>
  <c r="BS6" i="4" l="1"/>
  <c r="BT5" i="4"/>
  <c r="BT4" i="4" s="1"/>
  <c r="BU5" i="4" l="1"/>
  <c r="BU4" i="4" s="1"/>
  <c r="BT6" i="4"/>
  <c r="BV5" i="4" l="1"/>
  <c r="BV4" i="4" s="1"/>
  <c r="BU6" i="4"/>
  <c r="BW5" i="4" l="1"/>
  <c r="BW4" i="4" s="1"/>
  <c r="BV6" i="4"/>
  <c r="BX5" i="4" l="1"/>
  <c r="BX4" i="4" s="1"/>
  <c r="BW6" i="4"/>
  <c r="BX6" i="4" l="1"/>
  <c r="BY5" i="4"/>
  <c r="BY4" i="4" s="1"/>
  <c r="BZ5" i="4" l="1"/>
  <c r="BZ4" i="4" s="1"/>
  <c r="BY6" i="4"/>
  <c r="BZ6" i="4" l="1"/>
  <c r="CA5" i="4"/>
  <c r="CA4" i="4" s="1"/>
  <c r="CB5" i="4" l="1"/>
  <c r="CB4" i="4" s="1"/>
  <c r="CA6" i="4"/>
  <c r="CB6" i="4" l="1"/>
  <c r="CC5" i="4"/>
  <c r="CC4" i="4" s="1"/>
  <c r="CC6" i="4" l="1"/>
  <c r="CD5" i="4"/>
  <c r="CD4" i="4" s="1"/>
  <c r="CD6" i="4" l="1"/>
  <c r="CE5" i="4"/>
  <c r="CE4" i="4" s="1"/>
  <c r="CF5" i="4" l="1"/>
  <c r="CF4" i="4" s="1"/>
  <c r="CE6" i="4"/>
  <c r="CG5" i="4" l="1"/>
  <c r="CG4" i="4" s="1"/>
  <c r="CF6" i="4"/>
  <c r="CG6" i="4" l="1"/>
  <c r="CH5" i="4"/>
  <c r="CH4" i="4" s="1"/>
  <c r="CI5" i="4" l="1"/>
  <c r="CI4" i="4" s="1"/>
  <c r="CH6" i="4"/>
  <c r="CI6" i="4" l="1"/>
  <c r="CJ5" i="4"/>
  <c r="CJ4" i="4" s="1"/>
  <c r="CJ6" i="4" l="1"/>
  <c r="CK5" i="4"/>
  <c r="CK4" i="4" s="1"/>
  <c r="CK6" i="4" l="1"/>
  <c r="CL5" i="4"/>
  <c r="CL4" i="4" s="1"/>
  <c r="CL6" i="4" l="1"/>
  <c r="CM5" i="4"/>
  <c r="CM4" i="4" s="1"/>
  <c r="CM6" i="4" l="1"/>
  <c r="CN5" i="4"/>
  <c r="CN4" i="4" s="1"/>
  <c r="CO5" i="4" l="1"/>
  <c r="CO4" i="4" s="1"/>
  <c r="CN6" i="4"/>
  <c r="CP5" i="4" l="1"/>
  <c r="CP4" i="4" s="1"/>
  <c r="CO6" i="4"/>
  <c r="CP6" i="4" l="1"/>
  <c r="CQ5" i="4"/>
  <c r="CQ4" i="4" s="1"/>
  <c r="CQ6" i="4" l="1"/>
  <c r="CR5" i="4"/>
  <c r="CR4" i="4" s="1"/>
  <c r="CS5" i="4" l="1"/>
  <c r="CS4" i="4" s="1"/>
  <c r="CR6" i="4"/>
  <c r="CS6" i="4" l="1"/>
  <c r="CT5" i="4"/>
  <c r="CT4" i="4" s="1"/>
  <c r="CT6" i="4" l="1"/>
  <c r="CU5" i="4"/>
  <c r="CU4" i="4" s="1"/>
  <c r="CU6" i="4" l="1"/>
  <c r="CV5" i="4"/>
  <c r="CV4" i="4" s="1"/>
  <c r="CW5" i="4" l="1"/>
  <c r="CW4" i="4" s="1"/>
  <c r="CV6" i="4"/>
  <c r="CW6" i="4" l="1"/>
  <c r="CX5" i="4"/>
  <c r="CX4" i="4" s="1"/>
  <c r="CY5" i="4" l="1"/>
  <c r="CY4" i="4" s="1"/>
  <c r="CX6" i="4"/>
  <c r="CY6" i="4" l="1"/>
  <c r="CZ5" i="4"/>
  <c r="CZ4" i="4" s="1"/>
  <c r="DA5" i="4" l="1"/>
  <c r="DA4" i="4" s="1"/>
  <c r="CZ6" i="4"/>
  <c r="DA6" i="4" l="1"/>
  <c r="DB5" i="4"/>
  <c r="DB6" i="4" l="1"/>
  <c r="DB4" i="4"/>
  <c r="BI4" i="8"/>
  <c r="BJ4" i="8"/>
  <c r="BJ6" i="8"/>
  <c r="BI6" i="8"/>
  <c r="BK5" i="8"/>
  <c r="BK6" i="8" s="1"/>
  <c r="BL5" i="8"/>
  <c r="BL4" i="8" s="1"/>
  <c r="BM5" i="8" l="1"/>
  <c r="BL6" i="8"/>
  <c r="BK4" i="8"/>
  <c r="BN5" i="8" l="1"/>
  <c r="BM6" i="8"/>
  <c r="BM4" i="8"/>
  <c r="BN6" i="8" l="1"/>
  <c r="BO5" i="8"/>
  <c r="BN4" i="8"/>
  <c r="BP5" i="8" l="1"/>
  <c r="BO6" i="8"/>
  <c r="BO4" i="8"/>
  <c r="BP6" i="8" l="1"/>
  <c r="BP4" i="8"/>
  <c r="BQ5" i="8"/>
  <c r="BQ6" i="8" l="1"/>
  <c r="BR5" i="8"/>
  <c r="BQ4" i="8"/>
  <c r="BR6" i="8" l="1"/>
  <c r="BS5" i="8"/>
  <c r="BR4" i="8"/>
  <c r="BT5" i="8" l="1"/>
  <c r="BS6" i="8"/>
  <c r="BS4" i="8"/>
  <c r="BT4" i="8" l="1"/>
  <c r="BT6" i="8"/>
  <c r="BU5" i="8"/>
  <c r="BV5" i="8" l="1"/>
  <c r="BU4" i="8"/>
  <c r="BU6" i="8"/>
  <c r="BV4" i="8" l="1"/>
  <c r="BW5" i="8"/>
  <c r="BV6" i="8"/>
  <c r="BW6" i="8" l="1"/>
  <c r="BW4" i="8"/>
  <c r="BX5" i="8"/>
  <c r="BX4" i="8" l="1"/>
  <c r="BY5" i="8"/>
  <c r="BX6" i="8"/>
  <c r="BY4" i="8" l="1"/>
  <c r="BZ5" i="8"/>
  <c r="BY6" i="8"/>
  <c r="BZ6" i="8" l="1"/>
  <c r="CA5" i="8"/>
  <c r="BZ4" i="8"/>
  <c r="CA6" i="8" l="1"/>
  <c r="CA4" i="8"/>
  <c r="CB5" i="8"/>
  <c r="CB4" i="8" l="1"/>
  <c r="CB6" i="8"/>
  <c r="CC5" i="8"/>
  <c r="CC4" i="8" l="1"/>
  <c r="CD5" i="8"/>
  <c r="CC6" i="8"/>
  <c r="CE5" i="8" l="1"/>
  <c r="CD4" i="8"/>
  <c r="CD6" i="8"/>
  <c r="CE6" i="8" l="1"/>
  <c r="CF5" i="8"/>
  <c r="CE4" i="8"/>
  <c r="CF6" i="8" l="1"/>
  <c r="CF4" i="8"/>
  <c r="CG5" i="8"/>
  <c r="CG6" i="8" l="1"/>
  <c r="CG4" i="8"/>
  <c r="CH5" i="8"/>
  <c r="CI5" i="8" l="1"/>
  <c r="CH4" i="8"/>
  <c r="CH6" i="8"/>
  <c r="CI4" i="8" l="1"/>
  <c r="CJ5" i="8"/>
  <c r="CI6" i="8"/>
  <c r="CJ6" i="8" l="1"/>
  <c r="CK5" i="8"/>
  <c r="CJ4" i="8"/>
  <c r="CL5" i="8" l="1"/>
  <c r="CK4" i="8"/>
  <c r="CK6" i="8"/>
  <c r="CM5" i="8" l="1"/>
  <c r="CL6" i="8"/>
  <c r="CL4" i="8"/>
  <c r="CM4" i="8" l="1"/>
  <c r="CN5" i="8"/>
  <c r="CM6" i="8"/>
  <c r="CO5" i="8" l="1"/>
  <c r="CN4" i="8"/>
  <c r="CN6" i="8"/>
  <c r="CO4" i="8" l="1"/>
  <c r="CP5" i="8"/>
  <c r="CO6" i="8"/>
  <c r="CP6" i="8" l="1"/>
  <c r="CQ5" i="8"/>
  <c r="CP4" i="8"/>
  <c r="CQ6" i="8" l="1"/>
  <c r="CQ4" i="8"/>
  <c r="CR5" i="8"/>
  <c r="CR6" i="8" l="1"/>
  <c r="CR4" i="8"/>
  <c r="CS5" i="8"/>
  <c r="CT5" i="8" l="1"/>
  <c r="CS6" i="8"/>
  <c r="CS4" i="8"/>
  <c r="CT6" i="8" l="1"/>
  <c r="CU5" i="8"/>
  <c r="CT4" i="8"/>
  <c r="CU6" i="8" l="1"/>
  <c r="CV5" i="8"/>
  <c r="CU4" i="8"/>
  <c r="CV4" i="8" l="1"/>
  <c r="CV6" i="8"/>
  <c r="CW5" i="8"/>
  <c r="CW4" i="8" l="1"/>
  <c r="CW6" i="8"/>
  <c r="CX5" i="8"/>
  <c r="CX6" i="8" l="1"/>
  <c r="CX4" i="8"/>
  <c r="CY5" i="8"/>
  <c r="CY4" i="8" l="1"/>
  <c r="CZ5" i="8"/>
  <c r="CY6" i="8"/>
  <c r="CZ6" i="8" l="1"/>
  <c r="CZ4" i="8"/>
  <c r="DA5" i="8"/>
  <c r="DB5" i="8" l="1"/>
  <c r="DA6" i="8"/>
  <c r="DA4" i="8"/>
  <c r="DB4" i="8" l="1"/>
  <c r="DB6" i="8"/>
</calcChain>
</file>

<file path=xl/sharedStrings.xml><?xml version="1.0" encoding="utf-8"?>
<sst xmlns="http://schemas.openxmlformats.org/spreadsheetml/2006/main" count="716" uniqueCount="159">
  <si>
    <t>プロジェクト名</t>
    <rPh sb="6" eb="7">
      <t>メイ</t>
    </rPh>
    <phoneticPr fontId="1"/>
  </si>
  <si>
    <t>開始日</t>
    <rPh sb="0" eb="3">
      <t>カイシビ</t>
    </rPh>
    <phoneticPr fontId="1"/>
  </si>
  <si>
    <t>終了日</t>
    <rPh sb="0" eb="3">
      <t>シュウリョウビ</t>
    </rPh>
    <phoneticPr fontId="1"/>
  </si>
  <si>
    <t>No</t>
    <phoneticPr fontId="1"/>
  </si>
  <si>
    <t>担当者</t>
    <rPh sb="0" eb="3">
      <t>タントウシャ</t>
    </rPh>
    <phoneticPr fontId="1"/>
  </si>
  <si>
    <t>作業名</t>
    <rPh sb="0" eb="2">
      <t>サギョウ</t>
    </rPh>
    <rPh sb="2" eb="3">
      <t>メイ</t>
    </rPh>
    <phoneticPr fontId="1"/>
  </si>
  <si>
    <t>予定</t>
    <rPh sb="0" eb="2">
      <t>ヨテイ</t>
    </rPh>
    <phoneticPr fontId="1"/>
  </si>
  <si>
    <t>実績</t>
    <rPh sb="0" eb="2">
      <t>ジッセキ</t>
    </rPh>
    <phoneticPr fontId="1"/>
  </si>
  <si>
    <t>工程</t>
    <rPh sb="0" eb="2">
      <t>コウテイ</t>
    </rPh>
    <phoneticPr fontId="1"/>
  </si>
  <si>
    <t>実績</t>
    <rPh sb="0" eb="2">
      <t>ジッセキ</t>
    </rPh>
    <phoneticPr fontId="1"/>
  </si>
  <si>
    <t>作成者</t>
    <rPh sb="0" eb="3">
      <t>サクセイシャ</t>
    </rPh>
    <phoneticPr fontId="1"/>
  </si>
  <si>
    <t>更新者</t>
    <rPh sb="0" eb="3">
      <t>コウシンシャ</t>
    </rPh>
    <phoneticPr fontId="1"/>
  </si>
  <si>
    <t>作成日</t>
    <rPh sb="0" eb="3">
      <t>サクセイビ</t>
    </rPh>
    <phoneticPr fontId="1"/>
  </si>
  <si>
    <t>更新日</t>
    <rPh sb="0" eb="3">
      <t>コウシンビ</t>
    </rPh>
    <phoneticPr fontId="1"/>
  </si>
  <si>
    <t>プロジェクト開始日</t>
    <rPh sb="6" eb="9">
      <t>カイシビ</t>
    </rPh>
    <phoneticPr fontId="1"/>
  </si>
  <si>
    <t>プロジェクト終了日</t>
    <rPh sb="6" eb="9">
      <t>シュウリョウビ</t>
    </rPh>
    <phoneticPr fontId="1"/>
  </si>
  <si>
    <t>予定
進捗
(%)</t>
    <rPh sb="0" eb="2">
      <t>ヨテイ</t>
    </rPh>
    <rPh sb="3" eb="5">
      <t>シンチョク</t>
    </rPh>
    <phoneticPr fontId="1"/>
  </si>
  <si>
    <t>実績
進捗
(%)</t>
    <rPh sb="0" eb="2">
      <t>ジッセキ</t>
    </rPh>
    <rPh sb="3" eb="5">
      <t>シンチョク</t>
    </rPh>
    <phoneticPr fontId="1"/>
  </si>
  <si>
    <t>工数（H）</t>
    <rPh sb="0" eb="2">
      <t>コウスウ</t>
    </rPh>
    <phoneticPr fontId="1"/>
  </si>
  <si>
    <t>機能A</t>
    <rPh sb="0" eb="2">
      <t>キノウ</t>
    </rPh>
    <phoneticPr fontId="1"/>
  </si>
  <si>
    <t>機能B</t>
    <rPh sb="0" eb="2">
      <t>キノウ</t>
    </rPh>
    <phoneticPr fontId="1"/>
  </si>
  <si>
    <t>画面B1</t>
    <rPh sb="0" eb="2">
      <t>ガメン</t>
    </rPh>
    <phoneticPr fontId="1"/>
  </si>
  <si>
    <t>画面B2</t>
    <rPh sb="0" eb="2">
      <t>ガメン</t>
    </rPh>
    <phoneticPr fontId="1"/>
  </si>
  <si>
    <t>作業A11
作業A12</t>
    <rPh sb="0" eb="2">
      <t>サギョウ</t>
    </rPh>
    <rPh sb="6" eb="8">
      <t>サギョウ</t>
    </rPh>
    <phoneticPr fontId="1"/>
  </si>
  <si>
    <t>作業A31
作業A32</t>
    <rPh sb="0" eb="2">
      <t>サギョウ</t>
    </rPh>
    <rPh sb="6" eb="8">
      <t>サギョウ</t>
    </rPh>
    <phoneticPr fontId="1"/>
  </si>
  <si>
    <t>作業B11</t>
    <rPh sb="0" eb="2">
      <t>サギョウ</t>
    </rPh>
    <phoneticPr fontId="1"/>
  </si>
  <si>
    <t>作業A1２</t>
    <phoneticPr fontId="1"/>
  </si>
  <si>
    <t>H</t>
    <phoneticPr fontId="1"/>
  </si>
  <si>
    <t>作業日数（見積書）</t>
    <rPh sb="0" eb="2">
      <t>サギョウ</t>
    </rPh>
    <rPh sb="2" eb="4">
      <t>ニッスウ</t>
    </rPh>
    <rPh sb="5" eb="7">
      <t>ミツモリ</t>
    </rPh>
    <rPh sb="7" eb="8">
      <t>ショ</t>
    </rPh>
    <phoneticPr fontId="1"/>
  </si>
  <si>
    <t>進捗
状況</t>
    <rPh sb="0" eb="2">
      <t>シンチョク</t>
    </rPh>
    <rPh sb="3" eb="5">
      <t>ジョウキョウ</t>
    </rPh>
    <phoneticPr fontId="1"/>
  </si>
  <si>
    <t>画面B3</t>
    <rPh sb="0" eb="2">
      <t>ガメン</t>
    </rPh>
    <phoneticPr fontId="1"/>
  </si>
  <si>
    <t>画面B4</t>
    <rPh sb="0" eb="2">
      <t>ガメン</t>
    </rPh>
    <phoneticPr fontId="1"/>
  </si>
  <si>
    <t>画面B5</t>
    <rPh sb="0" eb="2">
      <t>ガメン</t>
    </rPh>
    <phoneticPr fontId="1"/>
  </si>
  <si>
    <t>画面B6</t>
    <rPh sb="0" eb="2">
      <t>ガメン</t>
    </rPh>
    <phoneticPr fontId="1"/>
  </si>
  <si>
    <t>画面B7</t>
    <rPh sb="0" eb="2">
      <t>ガメン</t>
    </rPh>
    <phoneticPr fontId="1"/>
  </si>
  <si>
    <t>終了日</t>
    <rPh sb="0" eb="2">
      <t>シュウリョウ</t>
    </rPh>
    <rPh sb="2" eb="3">
      <t>ビ</t>
    </rPh>
    <phoneticPr fontId="1"/>
  </si>
  <si>
    <t>開発担当者</t>
    <rPh sb="0" eb="2">
      <t>カイハツ</t>
    </rPh>
    <rPh sb="2" eb="5">
      <t>タントウシャ</t>
    </rPh>
    <phoneticPr fontId="1"/>
  </si>
  <si>
    <t>斎藤PL</t>
    <rPh sb="0" eb="2">
      <t>サイトウ</t>
    </rPh>
    <phoneticPr fontId="1"/>
  </si>
  <si>
    <t>鈴木PG</t>
    <rPh sb="0" eb="2">
      <t>スズキ</t>
    </rPh>
    <phoneticPr fontId="1"/>
  </si>
  <si>
    <t>三井PG</t>
    <rPh sb="0" eb="2">
      <t>ミツイ</t>
    </rPh>
    <phoneticPr fontId="1"/>
  </si>
  <si>
    <t>機能＆画面一覧</t>
    <phoneticPr fontId="1"/>
  </si>
  <si>
    <t>画面A1</t>
    <rPh sb="0" eb="2">
      <t>ガメン</t>
    </rPh>
    <phoneticPr fontId="1"/>
  </si>
  <si>
    <t>画面A2</t>
    <rPh sb="0" eb="2">
      <t>ガメン</t>
    </rPh>
    <phoneticPr fontId="1"/>
  </si>
  <si>
    <t>画面A3</t>
    <rPh sb="0" eb="2">
      <t>ガメン</t>
    </rPh>
    <phoneticPr fontId="1"/>
  </si>
  <si>
    <t>画面A4</t>
    <rPh sb="0" eb="2">
      <t>ガメン</t>
    </rPh>
    <phoneticPr fontId="1"/>
  </si>
  <si>
    <t>画面A5</t>
    <rPh sb="0" eb="2">
      <t>ガメン</t>
    </rPh>
    <phoneticPr fontId="1"/>
  </si>
  <si>
    <t>案件名：工事発注管理システム</t>
    <rPh sb="0" eb="2">
      <t>アンケン</t>
    </rPh>
    <rPh sb="2" eb="3">
      <t>メイ</t>
    </rPh>
    <rPh sb="4" eb="6">
      <t>コウジ</t>
    </rPh>
    <rPh sb="6" eb="8">
      <t>ハッチュウ</t>
    </rPh>
    <rPh sb="8" eb="10">
      <t>カンリ</t>
    </rPh>
    <phoneticPr fontId="1"/>
  </si>
  <si>
    <t>日</t>
    <rPh sb="0" eb="1">
      <t>ニチ</t>
    </rPh>
    <phoneticPr fontId="1"/>
  </si>
  <si>
    <t>責任者</t>
    <rPh sb="0" eb="3">
      <t>セキニンシャ</t>
    </rPh>
    <phoneticPr fontId="1"/>
  </si>
  <si>
    <t>A案件</t>
    <rPh sb="1" eb="3">
      <t>アンケン</t>
    </rPh>
    <phoneticPr fontId="1"/>
  </si>
  <si>
    <t>佐藤　一郎</t>
    <rPh sb="3" eb="5">
      <t>イチロ</t>
    </rPh>
    <phoneticPr fontId="1"/>
  </si>
  <si>
    <t>A機能</t>
    <phoneticPr fontId="1"/>
  </si>
  <si>
    <t>A１画面製造</t>
    <rPh sb="2" eb="4">
      <t>ガメン</t>
    </rPh>
    <rPh sb="4" eb="6">
      <t>セイゾウ</t>
    </rPh>
    <phoneticPr fontId="1"/>
  </si>
  <si>
    <t>Aさん</t>
    <phoneticPr fontId="1"/>
  </si>
  <si>
    <t>開発工程</t>
    <rPh sb="0" eb="2">
      <t>カイハツ</t>
    </rPh>
    <rPh sb="2" eb="4">
      <t>コウテイ</t>
    </rPh>
    <phoneticPr fontId="1"/>
  </si>
  <si>
    <t>⇒祭日：８/11,8/24,8/25</t>
    <rPh sb="1" eb="3">
      <t>サイジツ</t>
    </rPh>
    <phoneticPr fontId="1"/>
  </si>
  <si>
    <t>⇒PMに報告＆申請</t>
    <rPh sb="4" eb="6">
      <t>ホウコク</t>
    </rPh>
    <rPh sb="7" eb="9">
      <t>シンセイ</t>
    </rPh>
    <phoneticPr fontId="1"/>
  </si>
  <si>
    <t>コスト⇒増加</t>
    <rPh sb="4" eb="6">
      <t>ゾウカ</t>
    </rPh>
    <phoneticPr fontId="1"/>
  </si>
  <si>
    <t>②残業</t>
    <rPh sb="1" eb="3">
      <t>ザンギョウ</t>
    </rPh>
    <phoneticPr fontId="1"/>
  </si>
  <si>
    <t>③増員</t>
    <rPh sb="1" eb="3">
      <t>ゾウイン</t>
    </rPh>
    <phoneticPr fontId="1"/>
  </si>
  <si>
    <t>①終了日延長　⇒お客様に相談</t>
    <rPh sb="1" eb="4">
      <t>シュウリョウビ</t>
    </rPh>
    <rPh sb="4" eb="6">
      <t>エンチョウ</t>
    </rPh>
    <rPh sb="9" eb="11">
      <t>キャクサマ</t>
    </rPh>
    <rPh sb="12" eb="14">
      <t>ソウダン</t>
    </rPh>
    <phoneticPr fontId="1"/>
  </si>
  <si>
    <t>✖</t>
    <phoneticPr fontId="1"/>
  </si>
  <si>
    <t>○</t>
    <phoneticPr fontId="1"/>
  </si>
  <si>
    <t>（23日）</t>
    <rPh sb="3" eb="4">
      <t>ニチ</t>
    </rPh>
    <phoneticPr fontId="1"/>
  </si>
  <si>
    <t>斎藤PG</t>
    <rPh sb="0" eb="2">
      <t>サイトウ</t>
    </rPh>
    <phoneticPr fontId="1"/>
  </si>
  <si>
    <t>機能C</t>
    <rPh sb="0" eb="2">
      <t>キノウ</t>
    </rPh>
    <phoneticPr fontId="1"/>
  </si>
  <si>
    <t>画面C１</t>
    <rPh sb="0" eb="2">
      <t>ガメン</t>
    </rPh>
    <phoneticPr fontId="1"/>
  </si>
  <si>
    <t>画面C２</t>
    <rPh sb="0" eb="2">
      <t>ガメン</t>
    </rPh>
    <phoneticPr fontId="1"/>
  </si>
  <si>
    <t>画面C３</t>
    <rPh sb="0" eb="2">
      <t>ガメン</t>
    </rPh>
    <phoneticPr fontId="1"/>
  </si>
  <si>
    <t>画面C４</t>
    <rPh sb="0" eb="2">
      <t>ガメン</t>
    </rPh>
    <phoneticPr fontId="1"/>
  </si>
  <si>
    <t>画面C５</t>
    <rPh sb="0" eb="2">
      <t>ガメン</t>
    </rPh>
    <phoneticPr fontId="1"/>
  </si>
  <si>
    <t>斎藤PG</t>
  </si>
  <si>
    <t>計算式</t>
    <rPh sb="0" eb="3">
      <t>ケイサn</t>
    </rPh>
    <phoneticPr fontId="1"/>
  </si>
  <si>
    <t>（Day機能-Day機能’）/人数</t>
    <phoneticPr fontId="1"/>
  </si>
  <si>
    <t>A２画面製造</t>
    <rPh sb="2" eb="4">
      <t>ガメン</t>
    </rPh>
    <rPh sb="4" eb="6">
      <t>セイゾウ</t>
    </rPh>
    <phoneticPr fontId="1"/>
  </si>
  <si>
    <t>A３画面製造</t>
    <rPh sb="2" eb="4">
      <t>ガメン</t>
    </rPh>
    <rPh sb="4" eb="6">
      <t>セイゾウ</t>
    </rPh>
    <phoneticPr fontId="1"/>
  </si>
  <si>
    <t>A４画面製造</t>
    <rPh sb="2" eb="4">
      <t>ガメン</t>
    </rPh>
    <rPh sb="4" eb="6">
      <t>セイゾウ</t>
    </rPh>
    <phoneticPr fontId="1"/>
  </si>
  <si>
    <t>A５画面製造</t>
    <rPh sb="2" eb="4">
      <t>ガメン</t>
    </rPh>
    <rPh sb="4" eb="6">
      <t>セイゾウ</t>
    </rPh>
    <phoneticPr fontId="1"/>
  </si>
  <si>
    <t>鈴木PG</t>
    <phoneticPr fontId="1"/>
  </si>
  <si>
    <t>張　璋</t>
    <rPh sb="0" eb="1">
      <t>チョウ</t>
    </rPh>
    <rPh sb="2" eb="3">
      <t>アキラ</t>
    </rPh>
    <phoneticPr fontId="1"/>
  </si>
  <si>
    <t>B機能</t>
    <phoneticPr fontId="1"/>
  </si>
  <si>
    <t>B１画面製造</t>
    <rPh sb="2" eb="4">
      <t>ガメン</t>
    </rPh>
    <rPh sb="4" eb="6">
      <t>セイゾウ</t>
    </rPh>
    <phoneticPr fontId="1"/>
  </si>
  <si>
    <t>B２画面製造</t>
    <rPh sb="2" eb="4">
      <t>ガメン</t>
    </rPh>
    <rPh sb="4" eb="6">
      <t>セイゾウ</t>
    </rPh>
    <phoneticPr fontId="1"/>
  </si>
  <si>
    <t>B３画面製造</t>
    <rPh sb="2" eb="4">
      <t>ガメン</t>
    </rPh>
    <rPh sb="4" eb="6">
      <t>セイゾウ</t>
    </rPh>
    <phoneticPr fontId="1"/>
  </si>
  <si>
    <t>B４画面製造</t>
    <rPh sb="2" eb="4">
      <t>ガメン</t>
    </rPh>
    <rPh sb="4" eb="6">
      <t>セイゾウ</t>
    </rPh>
    <phoneticPr fontId="1"/>
  </si>
  <si>
    <t>B５画面製造</t>
    <rPh sb="2" eb="4">
      <t>ガメン</t>
    </rPh>
    <rPh sb="4" eb="6">
      <t>セイゾウ</t>
    </rPh>
    <phoneticPr fontId="1"/>
  </si>
  <si>
    <t>B６画面製造</t>
    <rPh sb="2" eb="4">
      <t>ガメン</t>
    </rPh>
    <rPh sb="4" eb="6">
      <t>セイゾウ</t>
    </rPh>
    <phoneticPr fontId="1"/>
  </si>
  <si>
    <t>B７画面製造</t>
    <rPh sb="2" eb="4">
      <t>ガメン</t>
    </rPh>
    <rPh sb="4" eb="6">
      <t>セイゾウ</t>
    </rPh>
    <phoneticPr fontId="1"/>
  </si>
  <si>
    <t>機能A</t>
    <phoneticPr fontId="1"/>
  </si>
  <si>
    <t>画面A1</t>
    <phoneticPr fontId="1"/>
  </si>
  <si>
    <t>画面A2</t>
    <phoneticPr fontId="1"/>
  </si>
  <si>
    <t>画面A3</t>
    <phoneticPr fontId="1"/>
  </si>
  <si>
    <t>画面A4</t>
    <phoneticPr fontId="1"/>
  </si>
  <si>
    <t>画面A5</t>
    <phoneticPr fontId="1"/>
  </si>
  <si>
    <t>機能B</t>
    <phoneticPr fontId="1"/>
  </si>
  <si>
    <t>画面B1</t>
    <phoneticPr fontId="1"/>
  </si>
  <si>
    <t>画面B2</t>
    <phoneticPr fontId="1"/>
  </si>
  <si>
    <t>画面B3</t>
    <phoneticPr fontId="1"/>
  </si>
  <si>
    <t>画面B4</t>
    <phoneticPr fontId="1"/>
  </si>
  <si>
    <t>画面B5</t>
    <phoneticPr fontId="1"/>
  </si>
  <si>
    <t>画面B6</t>
    <phoneticPr fontId="1"/>
  </si>
  <si>
    <t>画面B7</t>
    <phoneticPr fontId="1"/>
  </si>
  <si>
    <t>機能C</t>
    <phoneticPr fontId="1"/>
  </si>
  <si>
    <t>画面C１</t>
    <phoneticPr fontId="1"/>
  </si>
  <si>
    <t>画面C2</t>
    <phoneticPr fontId="1"/>
  </si>
  <si>
    <t>画面C3</t>
    <phoneticPr fontId="1"/>
  </si>
  <si>
    <t>画面C4</t>
    <phoneticPr fontId="1"/>
  </si>
  <si>
    <t>画面C5</t>
    <phoneticPr fontId="1"/>
  </si>
  <si>
    <t>斎藤PG</t>
    <phoneticPr fontId="1"/>
  </si>
  <si>
    <t>三井PG</t>
    <phoneticPr fontId="1"/>
  </si>
  <si>
    <t>工事発注管理システム1</t>
    <rPh sb="1" eb="3">
      <t>アンケン</t>
    </rPh>
    <phoneticPr fontId="1"/>
  </si>
  <si>
    <t>工事発注管理システム2</t>
    <phoneticPr fontId="1"/>
  </si>
  <si>
    <t>案件名：工事発注管理システム2</t>
    <rPh sb="0" eb="2">
      <t>アンケン</t>
    </rPh>
    <rPh sb="2" eb="3">
      <t>メイ</t>
    </rPh>
    <rPh sb="4" eb="6">
      <t>コウジ</t>
    </rPh>
    <rPh sb="6" eb="8">
      <t>ハッチュウ</t>
    </rPh>
    <rPh sb="8" eb="10">
      <t>カンリ</t>
    </rPh>
    <phoneticPr fontId="1"/>
  </si>
  <si>
    <t>日</t>
    <rPh sb="0" eb="1">
      <t>ニチ</t>
    </rPh>
    <phoneticPr fontId="1"/>
  </si>
  <si>
    <t>人</t>
    <rPh sb="0" eb="1">
      <t>ヒト</t>
    </rPh>
    <phoneticPr fontId="1"/>
  </si>
  <si>
    <t>H/日</t>
    <rPh sb="2" eb="3">
      <t>ニチ</t>
    </rPh>
    <phoneticPr fontId="1"/>
  </si>
  <si>
    <t>H</t>
    <phoneticPr fontId="1"/>
  </si>
  <si>
    <t>見積</t>
    <rPh sb="0" eb="2">
      <t>ミツモリ</t>
    </rPh>
    <phoneticPr fontId="1"/>
  </si>
  <si>
    <t>納品（スケジュール）</t>
    <rPh sb="0" eb="2">
      <t>ノウヒン</t>
    </rPh>
    <phoneticPr fontId="1"/>
  </si>
  <si>
    <t>品質</t>
    <rPh sb="0" eb="2">
      <t>ヒンシツ</t>
    </rPh>
    <phoneticPr fontId="1"/>
  </si>
  <si>
    <t>コスト</t>
    <phoneticPr fontId="1"/>
  </si>
  <si>
    <t>500万</t>
    <rPh sb="3" eb="4">
      <t>マン</t>
    </rPh>
    <phoneticPr fontId="1"/>
  </si>
  <si>
    <t>✖</t>
    <phoneticPr fontId="1"/>
  </si>
  <si>
    <t>○</t>
    <phoneticPr fontId="1"/>
  </si>
  <si>
    <t>８０万</t>
    <rPh sb="2" eb="3">
      <t>マン</t>
    </rPh>
    <phoneticPr fontId="1"/>
  </si>
  <si>
    <t>原田PG</t>
    <rPh sb="0" eb="2">
      <t>ハラタ</t>
    </rPh>
    <phoneticPr fontId="1"/>
  </si>
  <si>
    <t>画面C６</t>
    <rPh sb="0" eb="2">
      <t>ガメン</t>
    </rPh>
    <phoneticPr fontId="1"/>
  </si>
  <si>
    <t>見積工数</t>
    <rPh sb="0" eb="2">
      <t>ミツモリ</t>
    </rPh>
    <rPh sb="2" eb="4">
      <t>コウ</t>
    </rPh>
    <phoneticPr fontId="1"/>
  </si>
  <si>
    <t>見積平均工数</t>
    <rPh sb="0" eb="2">
      <t>ミツモリ</t>
    </rPh>
    <rPh sb="2" eb="4">
      <t>ヘイキn</t>
    </rPh>
    <rPh sb="4" eb="6">
      <t>コウスウ</t>
    </rPh>
    <phoneticPr fontId="1"/>
  </si>
  <si>
    <t>日</t>
    <phoneticPr fontId="1"/>
  </si>
  <si>
    <t>見積平均工数/人</t>
    <phoneticPr fontId="1"/>
  </si>
  <si>
    <t>小</t>
  </si>
  <si>
    <t>中</t>
  </si>
  <si>
    <t>中</t>
    <phoneticPr fontId="1"/>
  </si>
  <si>
    <t>大</t>
    <phoneticPr fontId="1"/>
  </si>
  <si>
    <t>小</t>
    <rPh sb="0" eb="1">
      <t>ショウ</t>
    </rPh>
    <phoneticPr fontId="1"/>
  </si>
  <si>
    <t>チーム１</t>
    <phoneticPr fontId="1"/>
  </si>
  <si>
    <t>チーム２</t>
  </si>
  <si>
    <t>チーム３</t>
  </si>
  <si>
    <t>チーム４</t>
  </si>
  <si>
    <t>リーダーA</t>
    <phoneticPr fontId="1"/>
  </si>
  <si>
    <t>製造</t>
    <rPh sb="0" eb="2">
      <t>セイゾウ</t>
    </rPh>
    <phoneticPr fontId="1"/>
  </si>
  <si>
    <t>⇒祭日：８/11,8/24,8/25,9/15,9/23</t>
    <rPh sb="1" eb="3">
      <t>サイジツ</t>
    </rPh>
    <phoneticPr fontId="1"/>
  </si>
  <si>
    <t>画面A6</t>
    <rPh sb="0" eb="2">
      <t>ガメン</t>
    </rPh>
    <phoneticPr fontId="1"/>
  </si>
  <si>
    <t>画面B8</t>
    <rPh sb="0" eb="2">
      <t>ガメン</t>
    </rPh>
    <phoneticPr fontId="1"/>
  </si>
  <si>
    <t>画面C７</t>
    <rPh sb="0" eb="2">
      <t>ガメン</t>
    </rPh>
    <phoneticPr fontId="1"/>
  </si>
  <si>
    <t>画面B9</t>
    <rPh sb="0" eb="2">
      <t>ガメン</t>
    </rPh>
    <phoneticPr fontId="1"/>
  </si>
  <si>
    <t>佐藤PG</t>
    <rPh sb="0" eb="2">
      <t>サトウ</t>
    </rPh>
    <phoneticPr fontId="1"/>
  </si>
  <si>
    <t>予定工数</t>
    <rPh sb="0" eb="2">
      <t>ヨテイ</t>
    </rPh>
    <phoneticPr fontId="1"/>
  </si>
  <si>
    <t>画面A6</t>
    <phoneticPr fontId="1"/>
  </si>
  <si>
    <t>画面B4</t>
  </si>
  <si>
    <t>画面B8</t>
    <phoneticPr fontId="1"/>
  </si>
  <si>
    <t>画面B9</t>
    <phoneticPr fontId="1"/>
  </si>
  <si>
    <t>画面C３</t>
    <phoneticPr fontId="1"/>
  </si>
  <si>
    <t>画面C４</t>
    <phoneticPr fontId="1"/>
  </si>
  <si>
    <t>画面C５</t>
    <phoneticPr fontId="1"/>
  </si>
  <si>
    <t>画面C６</t>
    <phoneticPr fontId="1"/>
  </si>
  <si>
    <t>画面C７</t>
    <phoneticPr fontId="1"/>
  </si>
  <si>
    <t>原田PG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</si>
</sst>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yyyy&quot;年&quot;m&quot;月&quot;d&quot;日&quot;;@"/>
    <numFmt numFmtId="177" formatCode="yyyy/m;@"/>
    <numFmt numFmtId="178" formatCode="d"/>
    <numFmt numFmtId="179" formatCode="m"/>
    <numFmt numFmtId="180" formatCode="yyyy&quot;年&quot;mm&quot;月&quot;dd&quot;日&quot;;@"/>
    <numFmt numFmtId="181" formatCode="yyyy/m/d;@"/>
    <numFmt numFmtId="182" formatCode="0.0_);[Red]\(0.0\)"/>
    <numFmt numFmtId="183" formatCode="0.0%"/>
    <numFmt numFmtId="184" formatCode="0.00_ "/>
    <numFmt numFmtId="185" formatCode="0.0"/>
  </numFmts>
  <fonts count="16"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b/>
      <sz val="12"/>
      <color theme="1"/>
      <name val="メイリオ"/>
      <family val="3"/>
      <charset val="128"/>
    </font>
    <font>
      <sz val="10"/>
      <color rgb="FF00B0F0"/>
      <name val="メイリオ"/>
      <family val="3"/>
      <charset val="128"/>
    </font>
    <font>
      <sz val="10"/>
      <name val="メイリオ"/>
      <family val="3"/>
      <charset val="128"/>
    </font>
    <font>
      <sz val="10"/>
      <color rgb="FFFF0000"/>
      <name val="Meiryo UI"/>
      <family val="2"/>
      <charset val="128"/>
    </font>
    <font>
      <b/>
      <sz val="10"/>
      <color rgb="FF00B0F0"/>
      <name val="Meiryo UI"/>
      <family val="3"/>
      <charset val="128"/>
    </font>
    <font>
      <sz val="10"/>
      <color theme="0"/>
      <name val="Meiryo UI"/>
      <family val="2"/>
      <charset val="128"/>
    </font>
    <font>
      <sz val="10"/>
      <color theme="0"/>
      <name val="メイリオ"/>
      <family val="3"/>
      <charset val="128"/>
    </font>
    <font>
      <sz val="10"/>
      <color rgb="FF00B050"/>
      <name val="Meiryo UI"/>
      <family val="2"/>
      <charset val="128"/>
    </font>
    <font>
      <sz val="10"/>
      <color rgb="FFC00000"/>
      <name val="Meiryo UI"/>
      <family val="2"/>
      <charset val="128"/>
    </font>
    <font>
      <sz val="10"/>
      <color theme="4" tint="-0.249977111117893"/>
      <name val="Meiryo UI"/>
      <family val="2"/>
      <charset val="128"/>
    </font>
    <font>
      <sz val="10"/>
      <color theme="3" tint="-0.249977111117893"/>
      <name val="Meiryo UI"/>
      <family val="2"/>
      <charset val="128"/>
    </font>
    <font>
      <sz val="10"/>
      <color rgb="FFFF0000"/>
      <name val="メイリオ"/>
      <family val="3"/>
      <charset val="128"/>
    </font>
  </fonts>
  <fills count="1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</borders>
  <cellStyleXfs count="1">
    <xf numFmtId="0" fontId="0" fillId="0" borderId="0">
      <alignment vertical="center"/>
    </xf>
  </cellStyleXfs>
  <cellXfs count="15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7" fontId="2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178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9" fontId="2" fillId="0" borderId="8" xfId="0" applyNumberFormat="1" applyFont="1" applyBorder="1" applyAlignment="1">
      <alignment horizontal="center" vertical="center"/>
    </xf>
    <xf numFmtId="179" fontId="2" fillId="0" borderId="9" xfId="0" applyNumberFormat="1" applyFont="1" applyBorder="1" applyAlignment="1">
      <alignment horizontal="center" vertical="center"/>
    </xf>
    <xf numFmtId="179" fontId="2" fillId="0" borderId="10" xfId="0" applyNumberFormat="1" applyFont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0" fillId="0" borderId="0" xfId="0" applyAlignment="1">
      <alignment vertical="center" wrapText="1"/>
    </xf>
    <xf numFmtId="14" fontId="0" fillId="0" borderId="0" xfId="0" applyNumberFormat="1">
      <alignment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0" fillId="6" borderId="0" xfId="0" applyFill="1" applyAlignment="1">
      <alignment horizontal="center"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10" borderId="0" xfId="0" applyFill="1">
      <alignment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>
      <alignment vertical="center"/>
    </xf>
    <xf numFmtId="178" fontId="3" fillId="3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>
      <alignment vertical="center"/>
    </xf>
    <xf numFmtId="14" fontId="9" fillId="3" borderId="0" xfId="0" applyNumberFormat="1" applyFont="1" applyFill="1">
      <alignment vertical="center"/>
    </xf>
    <xf numFmtId="0" fontId="10" fillId="3" borderId="0" xfId="0" applyFont="1" applyFill="1">
      <alignment vertical="center"/>
    </xf>
    <xf numFmtId="185" fontId="0" fillId="7" borderId="0" xfId="0" applyNumberFormat="1" applyFill="1">
      <alignment vertical="center"/>
    </xf>
    <xf numFmtId="0" fontId="9" fillId="0" borderId="0" xfId="0" applyFont="1">
      <alignment vertical="center"/>
    </xf>
    <xf numFmtId="185" fontId="0" fillId="0" borderId="0" xfId="0" applyNumberFormat="1">
      <alignment vertical="center"/>
    </xf>
    <xf numFmtId="185" fontId="7" fillId="0" borderId="0" xfId="0" applyNumberFormat="1" applyFont="1" applyAlignment="1">
      <alignment horizontal="right" vertical="center"/>
    </xf>
    <xf numFmtId="0" fontId="2" fillId="12" borderId="1" xfId="0" applyFont="1" applyFill="1" applyBorder="1" applyAlignment="1">
      <alignment horizontal="center" vertical="center"/>
    </xf>
    <xf numFmtId="0" fontId="2" fillId="12" borderId="1" xfId="0" applyFont="1" applyFill="1" applyBorder="1">
      <alignment vertical="center"/>
    </xf>
    <xf numFmtId="0" fontId="2" fillId="13" borderId="1" xfId="0" applyFont="1" applyFill="1" applyBorder="1">
      <alignment vertical="center"/>
    </xf>
    <xf numFmtId="0" fontId="2" fillId="9" borderId="1" xfId="0" applyFont="1" applyFill="1" applyBorder="1">
      <alignment vertical="center"/>
    </xf>
    <xf numFmtId="0" fontId="0" fillId="5" borderId="0" xfId="0" applyFill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1" fontId="0" fillId="0" borderId="0" xfId="0" applyNumberFormat="1">
      <alignment vertical="center"/>
    </xf>
    <xf numFmtId="0" fontId="11" fillId="5" borderId="0" xfId="0" applyFont="1" applyFill="1">
      <alignment vertical="center"/>
    </xf>
    <xf numFmtId="0" fontId="12" fillId="5" borderId="0" xfId="0" applyFont="1" applyFill="1">
      <alignment vertical="center"/>
    </xf>
    <xf numFmtId="56" fontId="0" fillId="0" borderId="0" xfId="0" applyNumberFormat="1">
      <alignment vertical="center"/>
    </xf>
    <xf numFmtId="0" fontId="0" fillId="9" borderId="0" xfId="0" applyFill="1">
      <alignment vertical="center"/>
    </xf>
    <xf numFmtId="0" fontId="13" fillId="5" borderId="0" xfId="0" applyFont="1" applyFill="1">
      <alignment vertical="center"/>
    </xf>
    <xf numFmtId="0" fontId="0" fillId="14" borderId="0" xfId="0" applyFill="1">
      <alignment vertical="center"/>
    </xf>
    <xf numFmtId="0" fontId="7" fillId="5" borderId="0" xfId="0" applyFont="1" applyFill="1">
      <alignment vertical="center"/>
    </xf>
    <xf numFmtId="0" fontId="14" fillId="5" borderId="0" xfId="0" applyFont="1" applyFill="1">
      <alignment vertical="center"/>
    </xf>
    <xf numFmtId="0" fontId="0" fillId="11" borderId="0" xfId="0" applyFill="1">
      <alignment vertical="center"/>
    </xf>
    <xf numFmtId="0" fontId="0" fillId="16" borderId="0" xfId="0" applyFill="1">
      <alignment vertical="center"/>
    </xf>
    <xf numFmtId="14" fontId="10" fillId="3" borderId="0" xfId="0" applyNumberFormat="1" applyFont="1" applyFill="1">
      <alignment vertical="center"/>
    </xf>
    <xf numFmtId="182" fontId="2" fillId="0" borderId="9" xfId="0" applyNumberFormat="1" applyFont="1" applyBorder="1" applyAlignment="1">
      <alignment horizontal="center" vertical="center"/>
    </xf>
    <xf numFmtId="182" fontId="2" fillId="0" borderId="10" xfId="0" applyNumberFormat="1" applyFont="1" applyBorder="1" applyAlignment="1">
      <alignment horizontal="center" vertical="center"/>
    </xf>
    <xf numFmtId="183" fontId="2" fillId="0" borderId="8" xfId="0" applyNumberFormat="1" applyFont="1" applyBorder="1" applyAlignment="1">
      <alignment horizontal="center" vertical="center" shrinkToFit="1"/>
    </xf>
    <xf numFmtId="183" fontId="2" fillId="0" borderId="10" xfId="0" applyNumberFormat="1" applyFont="1" applyBorder="1" applyAlignment="1">
      <alignment horizontal="center" vertical="center" shrinkToFit="1"/>
    </xf>
    <xf numFmtId="184" fontId="5" fillId="0" borderId="8" xfId="0" applyNumberFormat="1" applyFont="1" applyBorder="1" applyAlignment="1">
      <alignment horizontal="center" vertical="center"/>
    </xf>
    <xf numFmtId="184" fontId="5" fillId="0" borderId="9" xfId="0" applyNumberFormat="1" applyFont="1" applyBorder="1" applyAlignment="1">
      <alignment horizontal="center" vertical="center"/>
    </xf>
    <xf numFmtId="184" fontId="5" fillId="0" borderId="10" xfId="0" applyNumberFormat="1" applyFont="1" applyBorder="1" applyAlignment="1">
      <alignment horizontal="center" vertical="center"/>
    </xf>
    <xf numFmtId="184" fontId="2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81" fontId="2" fillId="0" borderId="1" xfId="0" applyNumberFormat="1" applyFont="1" applyBorder="1" applyAlignment="1">
      <alignment horizontal="left" vertical="center"/>
    </xf>
    <xf numFmtId="182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182" fontId="2" fillId="3" borderId="9" xfId="0" applyNumberFormat="1" applyFont="1" applyFill="1" applyBorder="1" applyAlignment="1">
      <alignment horizontal="center" vertical="center"/>
    </xf>
    <xf numFmtId="182" fontId="2" fillId="3" borderId="10" xfId="0" applyNumberFormat="1" applyFont="1" applyFill="1" applyBorder="1" applyAlignment="1">
      <alignment horizontal="center" vertical="center"/>
    </xf>
    <xf numFmtId="183" fontId="2" fillId="3" borderId="8" xfId="0" applyNumberFormat="1" applyFont="1" applyFill="1" applyBorder="1" applyAlignment="1">
      <alignment horizontal="center" vertical="center" shrinkToFit="1"/>
    </xf>
    <xf numFmtId="183" fontId="2" fillId="3" borderId="10" xfId="0" applyNumberFormat="1" applyFont="1" applyFill="1" applyBorder="1" applyAlignment="1">
      <alignment horizontal="center" vertical="center" shrinkToFit="1"/>
    </xf>
    <xf numFmtId="181" fontId="2" fillId="0" borderId="8" xfId="0" applyNumberFormat="1" applyFont="1" applyBorder="1" applyAlignment="1">
      <alignment horizontal="left" vertical="center"/>
    </xf>
    <xf numFmtId="181" fontId="2" fillId="0" borderId="9" xfId="0" applyNumberFormat="1" applyFont="1" applyBorder="1" applyAlignment="1">
      <alignment horizontal="left" vertical="center"/>
    </xf>
    <xf numFmtId="181" fontId="2" fillId="0" borderId="10" xfId="0" applyNumberFormat="1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shrinkToFit="1"/>
    </xf>
    <xf numFmtId="0" fontId="2" fillId="2" borderId="9" xfId="0" applyFont="1" applyFill="1" applyBorder="1" applyAlignment="1">
      <alignment horizontal="center" vertical="center" shrinkToFit="1"/>
    </xf>
    <xf numFmtId="0" fontId="2" fillId="2" borderId="10" xfId="0" applyFont="1" applyFill="1" applyBorder="1" applyAlignment="1">
      <alignment horizontal="center" vertical="center" shrinkToFit="1"/>
    </xf>
    <xf numFmtId="176" fontId="2" fillId="0" borderId="8" xfId="0" applyNumberFormat="1" applyFont="1" applyBorder="1" applyAlignment="1">
      <alignment horizontal="left" vertical="center"/>
    </xf>
    <xf numFmtId="176" fontId="2" fillId="0" borderId="9" xfId="0" applyNumberFormat="1" applyFont="1" applyBorder="1" applyAlignment="1">
      <alignment horizontal="left" vertical="center"/>
    </xf>
    <xf numFmtId="176" fontId="2" fillId="0" borderId="10" xfId="0" applyNumberFormat="1" applyFont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180" fontId="2" fillId="0" borderId="8" xfId="0" applyNumberFormat="1" applyFont="1" applyBorder="1" applyAlignment="1">
      <alignment horizontal="left" vertical="center"/>
    </xf>
    <xf numFmtId="180" fontId="2" fillId="0" borderId="9" xfId="0" applyNumberFormat="1" applyFont="1" applyBorder="1" applyAlignment="1">
      <alignment horizontal="left" vertical="center"/>
    </xf>
    <xf numFmtId="180" fontId="2" fillId="0" borderId="10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indent="1"/>
    </xf>
    <xf numFmtId="0" fontId="4" fillId="0" borderId="3" xfId="0" applyFont="1" applyBorder="1" applyAlignment="1">
      <alignment horizontal="left" vertical="center" indent="1"/>
    </xf>
    <xf numFmtId="0" fontId="4" fillId="0" borderId="4" xfId="0" applyFont="1" applyBorder="1" applyAlignment="1">
      <alignment horizontal="left" vertical="center" indent="1"/>
    </xf>
    <xf numFmtId="0" fontId="4" fillId="0" borderId="5" xfId="0" applyFont="1" applyBorder="1" applyAlignment="1">
      <alignment horizontal="left" vertical="center" indent="1"/>
    </xf>
    <xf numFmtId="0" fontId="4" fillId="0" borderId="6" xfId="0" applyFont="1" applyBorder="1" applyAlignment="1">
      <alignment horizontal="left" vertical="center" indent="1"/>
    </xf>
    <xf numFmtId="0" fontId="4" fillId="0" borderId="7" xfId="0" applyFont="1" applyBorder="1" applyAlignment="1">
      <alignment horizontal="left" vertical="center" indent="1"/>
    </xf>
    <xf numFmtId="0" fontId="6" fillId="2" borderId="2" xfId="0" applyFont="1" applyFill="1" applyBorder="1" applyAlignment="1">
      <alignment horizontal="center" vertical="center" wrapText="1" shrinkToFit="1"/>
    </xf>
    <xf numFmtId="0" fontId="6" fillId="2" borderId="4" xfId="0" applyFont="1" applyFill="1" applyBorder="1" applyAlignment="1">
      <alignment horizontal="center" vertical="center" shrinkToFit="1"/>
    </xf>
    <xf numFmtId="0" fontId="6" fillId="2" borderId="11" xfId="0" applyFont="1" applyFill="1" applyBorder="1" applyAlignment="1">
      <alignment horizontal="center" vertical="center" shrinkToFit="1"/>
    </xf>
    <xf numFmtId="0" fontId="6" fillId="2" borderId="12" xfId="0" applyFont="1" applyFill="1" applyBorder="1" applyAlignment="1">
      <alignment horizontal="center" vertical="center" shrinkToFit="1"/>
    </xf>
    <xf numFmtId="0" fontId="6" fillId="2" borderId="5" xfId="0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wrapText="1" shrinkToFit="1"/>
    </xf>
    <xf numFmtId="0" fontId="2" fillId="2" borderId="4" xfId="0" applyFont="1" applyFill="1" applyBorder="1" applyAlignment="1">
      <alignment horizontal="center" vertical="center" shrinkToFit="1"/>
    </xf>
    <xf numFmtId="0" fontId="2" fillId="2" borderId="11" xfId="0" applyFont="1" applyFill="1" applyBorder="1" applyAlignment="1">
      <alignment horizontal="center" vertical="center" shrinkToFit="1"/>
    </xf>
    <xf numFmtId="0" fontId="2" fillId="2" borderId="12" xfId="0" applyFont="1" applyFill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2" fillId="2" borderId="7" xfId="0" applyFont="1" applyFill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2" fillId="2" borderId="0" xfId="0" applyFont="1" applyFill="1" applyAlignment="1">
      <alignment horizontal="center" vertical="center" shrinkToFit="1"/>
    </xf>
    <xf numFmtId="0" fontId="2" fillId="2" borderId="6" xfId="0" applyFont="1" applyFill="1" applyBorder="1" applyAlignment="1">
      <alignment horizontal="center" vertical="center" shrinkToFit="1"/>
    </xf>
    <xf numFmtId="0" fontId="2" fillId="7" borderId="8" xfId="0" applyFont="1" applyFill="1" applyBorder="1" applyAlignment="1">
      <alignment horizontal="left" vertical="center"/>
    </xf>
    <xf numFmtId="0" fontId="2" fillId="7" borderId="9" xfId="0" applyFont="1" applyFill="1" applyBorder="1" applyAlignment="1">
      <alignment horizontal="left" vertical="center"/>
    </xf>
    <xf numFmtId="0" fontId="2" fillId="7" borderId="10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12" borderId="8" xfId="0" applyFont="1" applyFill="1" applyBorder="1" applyAlignment="1">
      <alignment horizontal="left" vertical="center"/>
    </xf>
    <xf numFmtId="0" fontId="2" fillId="12" borderId="9" xfId="0" applyFont="1" applyFill="1" applyBorder="1" applyAlignment="1">
      <alignment horizontal="left" vertical="center"/>
    </xf>
    <xf numFmtId="0" fontId="2" fillId="12" borderId="10" xfId="0" applyFont="1" applyFill="1" applyBorder="1" applyAlignment="1">
      <alignment horizontal="left" vertical="center"/>
    </xf>
    <xf numFmtId="0" fontId="2" fillId="9" borderId="8" xfId="0" applyFont="1" applyFill="1" applyBorder="1" applyAlignment="1">
      <alignment horizontal="left" vertical="center"/>
    </xf>
    <xf numFmtId="0" fontId="2" fillId="9" borderId="9" xfId="0" applyFont="1" applyFill="1" applyBorder="1" applyAlignment="1">
      <alignment horizontal="left" vertical="center"/>
    </xf>
    <xf numFmtId="0" fontId="2" fillId="9" borderId="10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8" borderId="8" xfId="0" applyFont="1" applyFill="1" applyBorder="1" applyAlignment="1">
      <alignment horizontal="left" vertical="center"/>
    </xf>
    <xf numFmtId="0" fontId="2" fillId="8" borderId="9" xfId="0" applyFont="1" applyFill="1" applyBorder="1" applyAlignment="1">
      <alignment horizontal="left" vertical="center"/>
    </xf>
    <xf numFmtId="0" fontId="2" fillId="8" borderId="10" xfId="0" applyFont="1" applyFill="1" applyBorder="1" applyAlignment="1">
      <alignment horizontal="left" vertical="center"/>
    </xf>
    <xf numFmtId="0" fontId="2" fillId="15" borderId="1" xfId="0" applyFont="1" applyFill="1" applyBorder="1" applyAlignment="1">
      <alignment horizontal="left" vertical="center"/>
    </xf>
    <xf numFmtId="181" fontId="15" fillId="0" borderId="1" xfId="0" applyNumberFormat="1" applyFont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</cellXfs>
  <cellStyles count="1">
    <cellStyle name="標準" xfId="0" builtinId="0"/>
  </cellStyles>
  <dxfs count="16"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border>
        <left style="thin">
          <color theme="0" tint="-0.499984740745262"/>
        </left>
        <vertical/>
        <horizontal/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border>
        <left style="thin">
          <color theme="0" tint="-0.499984740745262"/>
        </left>
        <vertical/>
        <horizontal/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border>
        <left style="thin">
          <color theme="0" tint="-0.499984740745262"/>
        </left>
        <vertical/>
        <horizontal/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border>
        <left style="thin">
          <color theme="0" tint="-0.499984740745262"/>
        </left>
        <vertical/>
        <horizontal/>
      </border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198120</xdr:colOff>
      <xdr:row>0</xdr:row>
      <xdr:rowOff>167640</xdr:rowOff>
    </xdr:from>
    <xdr:to>
      <xdr:col>10</xdr:col>
      <xdr:colOff>107576</xdr:colOff>
      <xdr:row>13</xdr:row>
      <xdr:rowOff>30931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ADBFECD-46C7-7DE3-5A52-9E8644CBE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" y="167640"/>
          <a:ext cx="7260515" cy="2194115"/>
        </a:xfrm>
        <a:prstGeom prst="rect">
          <a:avLst/>
        </a:prstGeom>
      </xdr:spPr>
    </xdr:pic>
    <xdr:clientData/>
  </xdr:twoCellAnchor>
  <xdr:twoCellAnchor editAs="oneCell">
    <xdr:from>
      <xdr:col>10</xdr:col>
      <xdr:colOff>348727</xdr:colOff>
      <xdr:row>0</xdr:row>
      <xdr:rowOff>170329</xdr:rowOff>
    </xdr:from>
    <xdr:to>
      <xdr:col>21</xdr:col>
      <xdr:colOff>437492</xdr:colOff>
      <xdr:row>34</xdr:row>
      <xdr:rowOff>20681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CE6F377-A327-0C91-0F96-39DA1BD66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99786" y="170329"/>
          <a:ext cx="8174930" cy="5946352"/>
        </a:xfrm>
        <a:prstGeom prst="rect">
          <a:avLst/>
        </a:prstGeom>
      </xdr:spPr>
    </xdr:pic>
    <xdr:clientData/>
  </xdr:twoCellAnchor>
  <xdr:twoCellAnchor editAs="oneCell">
    <xdr:from>
      <xdr:col>0</xdr:col>
      <xdr:colOff>215152</xdr:colOff>
      <xdr:row>13</xdr:row>
      <xdr:rowOff>170330</xdr:rowOff>
    </xdr:from>
    <xdr:to>
      <xdr:col>10</xdr:col>
      <xdr:colOff>99376</xdr:colOff>
      <xdr:row>20</xdr:row>
      <xdr:rowOff>125506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B198C63-EE5F-ACCF-CBC9-2828FD26E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5152" y="2501154"/>
          <a:ext cx="7235283" cy="1210234"/>
        </a:xfrm>
        <a:prstGeom prst="rect">
          <a:avLst/>
        </a:prstGeom>
      </xdr:spPr>
    </xdr:pic>
    <xdr:clientData/>
  </xdr:twoCellAnchor>
  <xdr:twoCellAnchor editAs="oneCell">
    <xdr:from>
      <xdr:col>0</xdr:col>
      <xdr:colOff>215154</xdr:colOff>
      <xdr:row>27</xdr:row>
      <xdr:rowOff>161365</xdr:rowOff>
    </xdr:from>
    <xdr:to>
      <xdr:col>10</xdr:col>
      <xdr:colOff>123101</xdr:colOff>
      <xdr:row>33</xdr:row>
      <xdr:rowOff>152400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844789DC-B71F-49AD-1380-773D56F8E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5154" y="5002306"/>
          <a:ext cx="7259006" cy="10668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36</xdr:row>
      <xdr:rowOff>1</xdr:rowOff>
    </xdr:from>
    <xdr:to>
      <xdr:col>7</xdr:col>
      <xdr:colOff>679819</xdr:colOff>
      <xdr:row>48</xdr:row>
      <xdr:rowOff>125507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3BC218B3-323E-3730-AC3E-1A8D688DB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2400" y="6454589"/>
          <a:ext cx="5673160" cy="2277036"/>
        </a:xfrm>
        <a:prstGeom prst="rect">
          <a:avLst/>
        </a:prstGeom>
      </xdr:spPr>
    </xdr:pic>
    <xdr:clientData/>
  </xdr:twoCellAnchor>
  <xdr:twoCellAnchor editAs="oneCell">
    <xdr:from>
      <xdr:col>0</xdr:col>
      <xdr:colOff>224116</xdr:colOff>
      <xdr:row>21</xdr:row>
      <xdr:rowOff>71718</xdr:rowOff>
    </xdr:from>
    <xdr:to>
      <xdr:col>10</xdr:col>
      <xdr:colOff>107576</xdr:colOff>
      <xdr:row>26</xdr:row>
      <xdr:rowOff>137558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C350A61B-EEF3-49E7-9BCF-2EBC1FBF2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4116" y="3836894"/>
          <a:ext cx="7234519" cy="962311"/>
        </a:xfrm>
        <a:prstGeom prst="rect">
          <a:avLst/>
        </a:prstGeom>
      </xdr:spPr>
    </xdr:pic>
    <xdr:clientData/>
  </xdr:twoCellAnchor>
  <xdr:twoCellAnchor editAs="oneCell">
    <xdr:from>
      <xdr:col>8</xdr:col>
      <xdr:colOff>313765</xdr:colOff>
      <xdr:row>36</xdr:row>
      <xdr:rowOff>98611</xdr:rowOff>
    </xdr:from>
    <xdr:to>
      <xdr:col>17</xdr:col>
      <xdr:colOff>118558</xdr:colOff>
      <xdr:row>54</xdr:row>
      <xdr:rowOff>34058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984CAEE-0779-799E-F13A-52C946F0F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194612" y="6553199"/>
          <a:ext cx="6420746" cy="3162741"/>
        </a:xfrm>
        <a:prstGeom prst="rect">
          <a:avLst/>
        </a:prstGeom>
      </xdr:spPr>
    </xdr:pic>
    <xdr:clientData/>
  </xdr:twoCellAnchor>
  <xdr:twoCellAnchor editAs="oneCell">
    <xdr:from>
      <xdr:col>8</xdr:col>
      <xdr:colOff>367552</xdr:colOff>
      <xdr:row>56</xdr:row>
      <xdr:rowOff>26893</xdr:rowOff>
    </xdr:from>
    <xdr:to>
      <xdr:col>18</xdr:col>
      <xdr:colOff>561346</xdr:colOff>
      <xdr:row>60</xdr:row>
      <xdr:rowOff>33718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5EC185B4-EA96-A85F-7210-6D76C730F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248399" y="10067364"/>
          <a:ext cx="7544853" cy="724001"/>
        </a:xfrm>
        <a:prstGeom prst="rect">
          <a:avLst/>
        </a:prstGeom>
      </xdr:spPr>
    </xdr:pic>
    <xdr:clientData/>
  </xdr:twoCellAnchor>
  <xdr:twoCellAnchor editAs="oneCell">
    <xdr:from>
      <xdr:col>8</xdr:col>
      <xdr:colOff>394447</xdr:colOff>
      <xdr:row>61</xdr:row>
      <xdr:rowOff>89647</xdr:rowOff>
    </xdr:from>
    <xdr:to>
      <xdr:col>18</xdr:col>
      <xdr:colOff>591670</xdr:colOff>
      <xdr:row>69</xdr:row>
      <xdr:rowOff>10113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B35A2C9B-15E4-2286-C737-8ADC37121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275294" y="11026588"/>
          <a:ext cx="7548282" cy="1354819"/>
        </a:xfrm>
        <a:prstGeom prst="rect">
          <a:avLst/>
        </a:prstGeom>
      </xdr:spPr>
    </xdr:pic>
    <xdr:clientData/>
  </xdr:twoCellAnchor>
  <xdr:twoCellAnchor editAs="oneCell">
    <xdr:from>
      <xdr:col>1</xdr:col>
      <xdr:colOff>349623</xdr:colOff>
      <xdr:row>31</xdr:row>
      <xdr:rowOff>62752</xdr:rowOff>
    </xdr:from>
    <xdr:to>
      <xdr:col>2</xdr:col>
      <xdr:colOff>462360</xdr:colOff>
      <xdr:row>33</xdr:row>
      <xdr:rowOff>47112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6B0AC552-7BF4-86A8-7C13-7C1CABA21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84729" y="5620870"/>
          <a:ext cx="847843" cy="3429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11</xdr:col>
      <xdr:colOff>487531</xdr:colOff>
      <xdr:row>113</xdr:row>
      <xdr:rowOff>106636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EDA9BE1B-A396-4738-821F-A7F479844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5060706"/>
          <a:ext cx="8573696" cy="53061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35859</xdr:colOff>
      <xdr:row>11</xdr:row>
      <xdr:rowOff>26893</xdr:rowOff>
    </xdr:from>
    <xdr:to>
      <xdr:col>29</xdr:col>
      <xdr:colOff>62754</xdr:colOff>
      <xdr:row>18</xdr:row>
      <xdr:rowOff>1400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079B2EC-E7B2-4030-2CD5-2D1D28F41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65459" y="2590799"/>
          <a:ext cx="349624" cy="1606083"/>
        </a:xfrm>
        <a:prstGeom prst="rect">
          <a:avLst/>
        </a:prstGeom>
      </xdr:spPr>
    </xdr:pic>
    <xdr:clientData/>
  </xdr:twoCellAnchor>
  <xdr:twoCellAnchor editAs="oneCell">
    <xdr:from>
      <xdr:col>28</xdr:col>
      <xdr:colOff>80684</xdr:colOff>
      <xdr:row>5</xdr:row>
      <xdr:rowOff>233082</xdr:rowOff>
    </xdr:from>
    <xdr:to>
      <xdr:col>29</xdr:col>
      <xdr:colOff>54469</xdr:colOff>
      <xdr:row>10</xdr:row>
      <xdr:rowOff>161365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5335EF-8D61-08DE-4088-B1E43CEAD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10284" y="1389529"/>
          <a:ext cx="296514" cy="11026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76202</xdr:colOff>
      <xdr:row>5</xdr:row>
      <xdr:rowOff>220133</xdr:rowOff>
    </xdr:from>
    <xdr:to>
      <xdr:col>29</xdr:col>
      <xdr:colOff>135468</xdr:colOff>
      <xdr:row>10</xdr:row>
      <xdr:rowOff>159138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009B2ED-D36F-29BE-2699-B24D2D4B4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35802" y="1397000"/>
          <a:ext cx="1667933" cy="1132805"/>
        </a:xfrm>
        <a:prstGeom prst="rect">
          <a:avLst/>
        </a:prstGeom>
      </xdr:spPr>
    </xdr:pic>
    <xdr:clientData/>
  </xdr:twoCellAnchor>
  <xdr:twoCellAnchor editAs="oneCell">
    <xdr:from>
      <xdr:col>23</xdr:col>
      <xdr:colOff>220132</xdr:colOff>
      <xdr:row>11</xdr:row>
      <xdr:rowOff>16933</xdr:rowOff>
    </xdr:from>
    <xdr:to>
      <xdr:col>29</xdr:col>
      <xdr:colOff>165884</xdr:colOff>
      <xdr:row>17</xdr:row>
      <xdr:rowOff>228600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0C730F0-8F55-7C10-C0B5-707A60BF8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7999" y="2624666"/>
          <a:ext cx="1876152" cy="1634067"/>
        </a:xfrm>
        <a:prstGeom prst="rect">
          <a:avLst/>
        </a:prstGeom>
      </xdr:spPr>
    </xdr:pic>
    <xdr:clientData/>
  </xdr:twoCellAnchor>
  <xdr:twoCellAnchor editAs="oneCell">
    <xdr:from>
      <xdr:col>23</xdr:col>
      <xdr:colOff>287869</xdr:colOff>
      <xdr:row>18</xdr:row>
      <xdr:rowOff>8467</xdr:rowOff>
    </xdr:from>
    <xdr:to>
      <xdr:col>29</xdr:col>
      <xdr:colOff>186267</xdr:colOff>
      <xdr:row>22</xdr:row>
      <xdr:rowOff>185025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522DC0B-7C08-ECAB-C57B-331E6CE52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25736" y="4275667"/>
          <a:ext cx="1828798" cy="1124825"/>
        </a:xfrm>
        <a:prstGeom prst="rect">
          <a:avLst/>
        </a:prstGeom>
      </xdr:spPr>
    </xdr:pic>
    <xdr:clientData/>
  </xdr:twoCellAnchor>
  <xdr:twoCellAnchor>
    <xdr:from>
      <xdr:col>28</xdr:col>
      <xdr:colOff>177800</xdr:colOff>
      <xdr:row>20</xdr:row>
      <xdr:rowOff>220134</xdr:rowOff>
    </xdr:from>
    <xdr:to>
      <xdr:col>32</xdr:col>
      <xdr:colOff>16933</xdr:colOff>
      <xdr:row>22</xdr:row>
      <xdr:rowOff>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03237982-3897-0B3C-DE31-83C41B89DDDF}"/>
            </a:ext>
          </a:extLst>
        </xdr:cNvPr>
        <xdr:cNvSpPr/>
      </xdr:nvSpPr>
      <xdr:spPr>
        <a:xfrm>
          <a:off x="8424333" y="4961467"/>
          <a:ext cx="1041400" cy="254000"/>
        </a:xfrm>
        <a:prstGeom prst="rect">
          <a:avLst/>
        </a:prstGeom>
        <a:noFill/>
        <a:ln w="38100">
          <a:solidFill>
            <a:srgbClr val="FF33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169333</xdr:colOff>
      <xdr:row>19</xdr:row>
      <xdr:rowOff>25400</xdr:rowOff>
    </xdr:from>
    <xdr:to>
      <xdr:col>31</xdr:col>
      <xdr:colOff>270933</xdr:colOff>
      <xdr:row>19</xdr:row>
      <xdr:rowOff>228600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AA678268-7026-4C29-BF32-B143EFBDE226}"/>
            </a:ext>
          </a:extLst>
        </xdr:cNvPr>
        <xdr:cNvSpPr/>
      </xdr:nvSpPr>
      <xdr:spPr>
        <a:xfrm>
          <a:off x="8415866" y="4529667"/>
          <a:ext cx="1024467" cy="203200"/>
        </a:xfrm>
        <a:prstGeom prst="rect">
          <a:avLst/>
        </a:prstGeom>
        <a:noFill/>
        <a:ln w="38100">
          <a:solidFill>
            <a:srgbClr val="FF33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169333</xdr:colOff>
      <xdr:row>12</xdr:row>
      <xdr:rowOff>237066</xdr:rowOff>
    </xdr:from>
    <xdr:to>
      <xdr:col>31</xdr:col>
      <xdr:colOff>245533</xdr:colOff>
      <xdr:row>13</xdr:row>
      <xdr:rowOff>211666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B8A64103-9803-4E6D-A820-48CE853886F5}"/>
            </a:ext>
          </a:extLst>
        </xdr:cNvPr>
        <xdr:cNvSpPr/>
      </xdr:nvSpPr>
      <xdr:spPr>
        <a:xfrm>
          <a:off x="8415866" y="3081866"/>
          <a:ext cx="999067" cy="211667"/>
        </a:xfrm>
        <a:prstGeom prst="rect">
          <a:avLst/>
        </a:prstGeom>
        <a:noFill/>
        <a:ln w="38100">
          <a:solidFill>
            <a:srgbClr val="FF33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42335</xdr:colOff>
      <xdr:row>23</xdr:row>
      <xdr:rowOff>220133</xdr:rowOff>
    </xdr:from>
    <xdr:to>
      <xdr:col>27</xdr:col>
      <xdr:colOff>25400</xdr:colOff>
      <xdr:row>30</xdr:row>
      <xdr:rowOff>50800</xdr:rowOff>
    </xdr:to>
    <xdr:sp macro="" textlink="">
      <xdr:nvSpPr>
        <xdr:cNvPr id="8" name="吹き出し: 四角形 7">
          <a:extLst>
            <a:ext uri="{FF2B5EF4-FFF2-40B4-BE49-F238E27FC236}">
              <a16:creationId xmlns:a16="http://schemas.microsoft.com/office/drawing/2014/main" id="{0C1CDABB-A38F-398D-2E6D-6E4000AF8539}"/>
            </a:ext>
          </a:extLst>
        </xdr:cNvPr>
        <xdr:cNvSpPr/>
      </xdr:nvSpPr>
      <xdr:spPr>
        <a:xfrm>
          <a:off x="4512735" y="5672666"/>
          <a:ext cx="3437465" cy="1490134"/>
        </a:xfrm>
        <a:prstGeom prst="wedgeRectCallout">
          <a:avLst>
            <a:gd name="adj1" fmla="val 62158"/>
            <a:gd name="adj2" fmla="val -110136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見積時間：５２８</a:t>
          </a:r>
          <a:r>
            <a:rPr kumimoji="1" lang="en-US" altLang="ja-JP" sz="1100">
              <a:solidFill>
                <a:srgbClr val="FF0000"/>
              </a:solidFill>
            </a:rPr>
            <a:t>H</a:t>
          </a: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実際時間：５９４</a:t>
          </a:r>
          <a:r>
            <a:rPr kumimoji="1" lang="en-US" altLang="ja-JP" sz="1100">
              <a:solidFill>
                <a:srgbClr val="FF0000"/>
              </a:solidFill>
            </a:rPr>
            <a:t>H</a:t>
          </a:r>
        </a:p>
        <a:p>
          <a:pPr algn="l"/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毎に３時間残業になっているのに、実際の予定時間が多めになっている。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予定時間を減らし、残業が発生しないようにすること。</a:t>
          </a:r>
        </a:p>
      </xdr:txBody>
    </xdr:sp>
    <xdr:clientData/>
  </xdr:twoCellAnchor>
  <xdr:twoCellAnchor>
    <xdr:from>
      <xdr:col>28</xdr:col>
      <xdr:colOff>135466</xdr:colOff>
      <xdr:row>5</xdr:row>
      <xdr:rowOff>211666</xdr:rowOff>
    </xdr:from>
    <xdr:to>
      <xdr:col>31</xdr:col>
      <xdr:colOff>228600</xdr:colOff>
      <xdr:row>6</xdr:row>
      <xdr:rowOff>211667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61817970-71CE-471A-BE10-115BFE4AF964}"/>
            </a:ext>
          </a:extLst>
        </xdr:cNvPr>
        <xdr:cNvSpPr/>
      </xdr:nvSpPr>
      <xdr:spPr>
        <a:xfrm>
          <a:off x="8381999" y="1388533"/>
          <a:ext cx="1016001" cy="245534"/>
        </a:xfrm>
        <a:prstGeom prst="rect">
          <a:avLst/>
        </a:prstGeom>
        <a:noFill/>
        <a:ln w="38100">
          <a:solidFill>
            <a:srgbClr val="FF33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152400</xdr:colOff>
      <xdr:row>11</xdr:row>
      <xdr:rowOff>25399</xdr:rowOff>
    </xdr:from>
    <xdr:to>
      <xdr:col>31</xdr:col>
      <xdr:colOff>228600</xdr:colOff>
      <xdr:row>11</xdr:row>
      <xdr:rowOff>237066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6562E4D3-2DA5-473B-A829-1CC6F3FB34A1}"/>
            </a:ext>
          </a:extLst>
        </xdr:cNvPr>
        <xdr:cNvSpPr/>
      </xdr:nvSpPr>
      <xdr:spPr>
        <a:xfrm>
          <a:off x="8398933" y="2633132"/>
          <a:ext cx="999067" cy="211667"/>
        </a:xfrm>
        <a:prstGeom prst="rect">
          <a:avLst/>
        </a:prstGeom>
        <a:noFill/>
        <a:ln w="38100">
          <a:solidFill>
            <a:srgbClr val="FF33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152400</xdr:colOff>
      <xdr:row>8</xdr:row>
      <xdr:rowOff>237066</xdr:rowOff>
    </xdr:from>
    <xdr:to>
      <xdr:col>31</xdr:col>
      <xdr:colOff>228600</xdr:colOff>
      <xdr:row>9</xdr:row>
      <xdr:rowOff>211666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44FBBDEE-89E9-4A01-9529-3B68A4764176}"/>
            </a:ext>
          </a:extLst>
        </xdr:cNvPr>
        <xdr:cNvSpPr/>
      </xdr:nvSpPr>
      <xdr:spPr>
        <a:xfrm>
          <a:off x="8398933" y="2133599"/>
          <a:ext cx="999067" cy="211667"/>
        </a:xfrm>
        <a:prstGeom prst="rect">
          <a:avLst/>
        </a:prstGeom>
        <a:noFill/>
        <a:ln w="38100">
          <a:solidFill>
            <a:srgbClr val="FF33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705338</xdr:colOff>
      <xdr:row>1</xdr:row>
      <xdr:rowOff>185616</xdr:rowOff>
    </xdr:from>
    <xdr:to>
      <xdr:col>23</xdr:col>
      <xdr:colOff>367324</xdr:colOff>
      <xdr:row>5</xdr:row>
      <xdr:rowOff>127000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ABC85198-128F-5AFE-381A-568B205CAD6B}"/>
            </a:ext>
          </a:extLst>
        </xdr:cNvPr>
        <xdr:cNvSpPr/>
      </xdr:nvSpPr>
      <xdr:spPr>
        <a:xfrm>
          <a:off x="11304953" y="381001"/>
          <a:ext cx="1987063" cy="752230"/>
        </a:xfrm>
        <a:prstGeom prst="wedgeRectCallout">
          <a:avLst>
            <a:gd name="adj1" fmla="val -19878"/>
            <a:gd name="adj2" fmla="val -2283"/>
          </a:avLst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「スケジュール</a:t>
          </a:r>
          <a:r>
            <a:rPr kumimoji="1" lang="en-US" altLang="ja-JP" sz="1100"/>
            <a:t>_</a:t>
          </a:r>
          <a:r>
            <a:rPr kumimoji="1" lang="ja-JP" altLang="en-US" sz="1100"/>
            <a:t>プラン</a:t>
          </a:r>
          <a:r>
            <a:rPr kumimoji="1" lang="en-US" altLang="ja-JP" sz="1100"/>
            <a:t>4</a:t>
          </a:r>
          <a:r>
            <a:rPr kumimoji="1" lang="ja-JP" altLang="en-US" sz="1100"/>
            <a:t>」シートを含めて記入してください。</a:t>
          </a:r>
        </a:p>
      </xdr:txBody>
    </xdr:sp>
    <xdr:clientData/>
  </xdr:twoCellAnchor>
  <xdr:twoCellAnchor>
    <xdr:from>
      <xdr:col>20</xdr:col>
      <xdr:colOff>492370</xdr:colOff>
      <xdr:row>8</xdr:row>
      <xdr:rowOff>3907</xdr:rowOff>
    </xdr:from>
    <xdr:to>
      <xdr:col>23</xdr:col>
      <xdr:colOff>185616</xdr:colOff>
      <xdr:row>9</xdr:row>
      <xdr:rowOff>58615</xdr:rowOff>
    </xdr:to>
    <xdr:sp macro="" textlink="">
      <xdr:nvSpPr>
        <xdr:cNvPr id="3" name="吹き出し: 四角形 1">
          <a:extLst>
            <a:ext uri="{FF2B5EF4-FFF2-40B4-BE49-F238E27FC236}">
              <a16:creationId xmlns:a16="http://schemas.microsoft.com/office/drawing/2014/main" id="{112133CD-D852-C840-8B64-AE4CE517CC35}"/>
            </a:ext>
          </a:extLst>
        </xdr:cNvPr>
        <xdr:cNvSpPr/>
      </xdr:nvSpPr>
      <xdr:spPr>
        <a:xfrm>
          <a:off x="11091985" y="1635369"/>
          <a:ext cx="2018323" cy="250092"/>
        </a:xfrm>
        <a:prstGeom prst="wedgeRectCallout">
          <a:avLst>
            <a:gd name="adj1" fmla="val -19878"/>
            <a:gd name="adj2" fmla="val -2283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CN" altLang="en-US" sz="1100"/>
            <a:t>残業しない場合、間に合わない</a:t>
          </a:r>
          <a:endParaRPr kumimoji="1" lang="en-US" altLang="ja-CN" sz="110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547078</xdr:colOff>
      <xdr:row>9</xdr:row>
      <xdr:rowOff>58616</xdr:rowOff>
    </xdr:from>
    <xdr:to>
      <xdr:col>21</xdr:col>
      <xdr:colOff>556847</xdr:colOff>
      <xdr:row>13</xdr:row>
      <xdr:rowOff>127000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4B0F806-B4A3-5CD0-275B-FF7BCA10E049}"/>
            </a:ext>
          </a:extLst>
        </xdr:cNvPr>
        <xdr:cNvCxnSpPr/>
      </xdr:nvCxnSpPr>
      <xdr:spPr>
        <a:xfrm>
          <a:off x="12123616" y="1885462"/>
          <a:ext cx="9769" cy="84992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58616</xdr:colOff>
      <xdr:row>6</xdr:row>
      <xdr:rowOff>175847</xdr:rowOff>
    </xdr:from>
    <xdr:to>
      <xdr:col>18</xdr:col>
      <xdr:colOff>166077</xdr:colOff>
      <xdr:row>8</xdr:row>
      <xdr:rowOff>25400</xdr:rowOff>
    </xdr:to>
    <xdr:sp macro="" textlink="">
      <xdr:nvSpPr>
        <xdr:cNvPr id="11" name="吹き出し: 四角形 1">
          <a:extLst>
            <a:ext uri="{FF2B5EF4-FFF2-40B4-BE49-F238E27FC236}">
              <a16:creationId xmlns:a16="http://schemas.microsoft.com/office/drawing/2014/main" id="{6FA1BB9E-D42D-C145-8C4F-F1BD1798DB3B}"/>
            </a:ext>
          </a:extLst>
        </xdr:cNvPr>
        <xdr:cNvSpPr/>
      </xdr:nvSpPr>
      <xdr:spPr>
        <a:xfrm>
          <a:off x="9271001" y="1406770"/>
          <a:ext cx="908538" cy="250092"/>
        </a:xfrm>
        <a:prstGeom prst="wedgeRectCallout">
          <a:avLst>
            <a:gd name="adj1" fmla="val -19878"/>
            <a:gd name="adj2" fmla="val -2283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CN" altLang="en-US" sz="1100"/>
            <a:t>コストが良い</a:t>
          </a:r>
          <a:endParaRPr kumimoji="1" lang="en-US" altLang="ja-CN" sz="110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445477</xdr:colOff>
      <xdr:row>8</xdr:row>
      <xdr:rowOff>15631</xdr:rowOff>
    </xdr:from>
    <xdr:to>
      <xdr:col>17</xdr:col>
      <xdr:colOff>455246</xdr:colOff>
      <xdr:row>12</xdr:row>
      <xdr:rowOff>84016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8148BFC7-1093-6F43-9618-502CB285A6C7}"/>
            </a:ext>
          </a:extLst>
        </xdr:cNvPr>
        <xdr:cNvCxnSpPr/>
      </xdr:nvCxnSpPr>
      <xdr:spPr>
        <a:xfrm>
          <a:off x="8172939" y="1647093"/>
          <a:ext cx="9769" cy="84992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11723</xdr:colOff>
      <xdr:row>9</xdr:row>
      <xdr:rowOff>181707</xdr:rowOff>
    </xdr:from>
    <xdr:to>
      <xdr:col>13</xdr:col>
      <xdr:colOff>562709</xdr:colOff>
      <xdr:row>13</xdr:row>
      <xdr:rowOff>152399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BFBE106A-9918-4222-BD89-63F1225222AF}"/>
            </a:ext>
          </a:extLst>
        </xdr:cNvPr>
        <xdr:cNvSpPr/>
      </xdr:nvSpPr>
      <xdr:spPr>
        <a:xfrm>
          <a:off x="5972908" y="1910861"/>
          <a:ext cx="2127739" cy="697523"/>
        </a:xfrm>
        <a:prstGeom prst="wedgeRectCallout">
          <a:avLst>
            <a:gd name="adj1" fmla="val -3073"/>
            <a:gd name="adj2" fmla="val 238"/>
          </a:avLst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「スケジュール</a:t>
          </a:r>
          <a:r>
            <a:rPr kumimoji="1" lang="en-US" altLang="ja-JP" sz="1100"/>
            <a:t>_</a:t>
          </a:r>
          <a:r>
            <a:rPr kumimoji="1" lang="ja-JP" altLang="en-US" sz="1100"/>
            <a:t>プラン</a:t>
          </a:r>
          <a:r>
            <a:rPr kumimoji="1" lang="en-US" altLang="ja-JP" sz="1100"/>
            <a:t>5</a:t>
          </a:r>
          <a:r>
            <a:rPr kumimoji="1" lang="ja-JP" altLang="en-US" sz="1100"/>
            <a:t>」シートを作らなくても良いです。</a:t>
          </a:r>
        </a:p>
      </xdr:txBody>
    </xdr:sp>
    <xdr:clientData/>
  </xdr:twoCellAnchor>
  <xdr:twoCellAnchor>
    <xdr:from>
      <xdr:col>17</xdr:col>
      <xdr:colOff>136768</xdr:colOff>
      <xdr:row>8</xdr:row>
      <xdr:rowOff>107461</xdr:rowOff>
    </xdr:from>
    <xdr:to>
      <xdr:col>18</xdr:col>
      <xdr:colOff>195385</xdr:colOff>
      <xdr:row>9</xdr:row>
      <xdr:rowOff>162169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B2A5CB5F-A0E3-AF42-B266-D81B18975955}"/>
            </a:ext>
          </a:extLst>
        </xdr:cNvPr>
        <xdr:cNvSpPr/>
      </xdr:nvSpPr>
      <xdr:spPr>
        <a:xfrm>
          <a:off x="10785230" y="1738923"/>
          <a:ext cx="1035540" cy="250092"/>
        </a:xfrm>
        <a:prstGeom prst="wedgeRectCallout">
          <a:avLst>
            <a:gd name="adj1" fmla="val -19878"/>
            <a:gd name="adj2" fmla="val -2283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CN" altLang="en-US" sz="1100"/>
            <a:t>コストが良い</a:t>
          </a:r>
          <a:endParaRPr kumimoji="1" lang="en-US" altLang="ja-CN" sz="1100"/>
        </a:p>
        <a:p>
          <a:pPr algn="l"/>
          <a:endParaRPr kumimoji="1" lang="en-US" altLang="ja-CN" sz="110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640861</xdr:colOff>
      <xdr:row>9</xdr:row>
      <xdr:rowOff>162169</xdr:rowOff>
    </xdr:from>
    <xdr:to>
      <xdr:col>17</xdr:col>
      <xdr:colOff>650630</xdr:colOff>
      <xdr:row>14</xdr:row>
      <xdr:rowOff>35169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A0887A82-ED00-0341-93C3-AFA32AFE528C}"/>
            </a:ext>
          </a:extLst>
        </xdr:cNvPr>
        <xdr:cNvCxnSpPr/>
      </xdr:nvCxnSpPr>
      <xdr:spPr>
        <a:xfrm>
          <a:off x="11240476" y="1989015"/>
          <a:ext cx="9769" cy="84992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10C7D-FFF0-4B9B-8B94-E5130FD73FF6}">
  <dimension ref="A1"/>
  <sheetViews>
    <sheetView topLeftCell="A31" zoomScale="85" zoomScaleNormal="85" workbookViewId="0">
      <selection activeCell="N76" sqref="N76"/>
    </sheetView>
  </sheetViews>
  <sheetFormatPr baseColWidth="10" defaultColWidth="8.83203125" defaultRowHeight="1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8D6A4-25C1-5B42-97DA-93E37BCFD0F8}">
  <dimension ref="A1:DD42"/>
  <sheetViews>
    <sheetView workbookViewId="0">
      <selection activeCell="R37" sqref="R37"/>
    </sheetView>
  </sheetViews>
  <sheetFormatPr baseColWidth="10" defaultColWidth="3.33203125" defaultRowHeight="15" customHeight="1"/>
  <cols>
    <col min="1" max="18" width="3.33203125" style="1"/>
    <col min="19" max="30" width="3.83203125" style="1" customWidth="1"/>
    <col min="31" max="34" width="3.33203125" style="1"/>
    <col min="35" max="35" width="3" style="1" customWidth="1"/>
    <col min="36" max="36" width="3.33203125" style="1"/>
    <col min="37" max="37" width="3" style="1" customWidth="1"/>
    <col min="38" max="38" width="3.33203125" style="1"/>
    <col min="39" max="42" width="2.6640625" style="1" customWidth="1"/>
    <col min="43" max="16384" width="3.33203125" style="1"/>
  </cols>
  <sheetData>
    <row r="1" spans="1:108" ht="17">
      <c r="A1" s="85" t="s">
        <v>0</v>
      </c>
      <c r="B1" s="95"/>
      <c r="C1" s="95"/>
      <c r="D1" s="95"/>
      <c r="E1" s="95"/>
      <c r="F1" s="95"/>
      <c r="G1" s="95"/>
      <c r="H1" s="112" t="s">
        <v>49</v>
      </c>
      <c r="I1" s="113"/>
      <c r="J1" s="113"/>
      <c r="K1" s="113"/>
      <c r="L1" s="113"/>
      <c r="M1" s="113"/>
      <c r="N1" s="113"/>
      <c r="O1" s="113"/>
      <c r="P1" s="113"/>
      <c r="Q1" s="113"/>
      <c r="R1" s="114"/>
      <c r="S1" s="106" t="s">
        <v>12</v>
      </c>
      <c r="T1" s="107"/>
      <c r="U1" s="107"/>
      <c r="V1" s="108"/>
      <c r="W1" s="109">
        <v>45868</v>
      </c>
      <c r="X1" s="110"/>
      <c r="Y1" s="110"/>
      <c r="Z1" s="110"/>
      <c r="AA1" s="110"/>
      <c r="AB1" s="110"/>
      <c r="AC1" s="111"/>
      <c r="AD1" s="106" t="s">
        <v>10</v>
      </c>
      <c r="AE1" s="107"/>
      <c r="AF1" s="107"/>
      <c r="AG1" s="108"/>
      <c r="AH1" s="103" t="s">
        <v>50</v>
      </c>
      <c r="AI1" s="104"/>
      <c r="AJ1" s="104"/>
      <c r="AK1" s="104"/>
      <c r="AL1" s="104"/>
      <c r="AM1" s="104"/>
      <c r="AN1" s="104"/>
      <c r="AO1" s="104"/>
      <c r="AP1" s="105"/>
      <c r="AQ1" s="100" t="s">
        <v>14</v>
      </c>
      <c r="AR1" s="101"/>
      <c r="AS1" s="101"/>
      <c r="AT1" s="102"/>
      <c r="AU1" s="103">
        <v>45870</v>
      </c>
      <c r="AV1" s="104"/>
      <c r="AW1" s="104"/>
      <c r="AX1" s="104"/>
      <c r="AY1" s="104"/>
      <c r="AZ1" s="104"/>
      <c r="BA1" s="105"/>
    </row>
    <row r="2" spans="1:108" ht="17">
      <c r="A2" s="83"/>
      <c r="B2" s="99"/>
      <c r="C2" s="99"/>
      <c r="D2" s="99"/>
      <c r="E2" s="99"/>
      <c r="F2" s="99"/>
      <c r="G2" s="99"/>
      <c r="H2" s="115"/>
      <c r="I2" s="116"/>
      <c r="J2" s="116"/>
      <c r="K2" s="116"/>
      <c r="L2" s="116"/>
      <c r="M2" s="116"/>
      <c r="N2" s="116"/>
      <c r="O2" s="116"/>
      <c r="P2" s="116"/>
      <c r="Q2" s="116"/>
      <c r="R2" s="117"/>
      <c r="S2" s="106" t="s">
        <v>13</v>
      </c>
      <c r="T2" s="107"/>
      <c r="U2" s="107"/>
      <c r="V2" s="108"/>
      <c r="W2" s="109"/>
      <c r="X2" s="110"/>
      <c r="Y2" s="110"/>
      <c r="Z2" s="110"/>
      <c r="AA2" s="110"/>
      <c r="AB2" s="110"/>
      <c r="AC2" s="111"/>
      <c r="AD2" s="106" t="s">
        <v>11</v>
      </c>
      <c r="AE2" s="107"/>
      <c r="AF2" s="107"/>
      <c r="AG2" s="108"/>
      <c r="AH2" s="103"/>
      <c r="AI2" s="104"/>
      <c r="AJ2" s="104"/>
      <c r="AK2" s="104"/>
      <c r="AL2" s="104"/>
      <c r="AM2" s="104"/>
      <c r="AN2" s="104"/>
      <c r="AO2" s="104"/>
      <c r="AP2" s="105"/>
      <c r="AQ2" s="100" t="s">
        <v>15</v>
      </c>
      <c r="AR2" s="101"/>
      <c r="AS2" s="101"/>
      <c r="AT2" s="102"/>
      <c r="AU2" s="103">
        <v>45916</v>
      </c>
      <c r="AV2" s="104"/>
      <c r="AW2" s="104"/>
      <c r="AX2" s="104"/>
      <c r="AY2" s="104"/>
      <c r="AZ2" s="104"/>
      <c r="BA2" s="105"/>
    </row>
    <row r="3" spans="1:108" ht="17">
      <c r="AQ3" s="1">
        <v>1</v>
      </c>
      <c r="AT3" s="1">
        <v>1</v>
      </c>
      <c r="AU3" s="1">
        <v>1</v>
      </c>
      <c r="AV3" s="1">
        <v>1</v>
      </c>
      <c r="AW3" s="1">
        <v>1</v>
      </c>
      <c r="AX3" s="1">
        <v>1</v>
      </c>
      <c r="BB3" s="1">
        <v>1</v>
      </c>
      <c r="BC3" s="1">
        <v>1</v>
      </c>
      <c r="BH3" s="1">
        <v>1</v>
      </c>
      <c r="BI3" s="1">
        <v>1</v>
      </c>
      <c r="BJ3" s="1">
        <v>1</v>
      </c>
      <c r="BK3" s="1">
        <v>1</v>
      </c>
      <c r="BL3" s="1">
        <v>1</v>
      </c>
      <c r="BO3" s="1">
        <v>1</v>
      </c>
      <c r="BP3" s="1">
        <v>1</v>
      </c>
      <c r="BQ3" s="1">
        <v>1</v>
      </c>
      <c r="BR3" s="1">
        <v>1</v>
      </c>
      <c r="BS3" s="1">
        <v>1</v>
      </c>
      <c r="BV3" s="1">
        <v>1</v>
      </c>
      <c r="BW3" s="1">
        <v>1</v>
      </c>
      <c r="BX3" s="1">
        <v>1</v>
      </c>
      <c r="BY3" s="1">
        <v>1</v>
      </c>
      <c r="BZ3" s="1">
        <v>1</v>
      </c>
    </row>
    <row r="4" spans="1:108" ht="17">
      <c r="A4" s="80" t="s">
        <v>3</v>
      </c>
      <c r="B4" s="80"/>
      <c r="C4" s="86" t="s">
        <v>8</v>
      </c>
      <c r="D4" s="87"/>
      <c r="E4" s="87"/>
      <c r="F4" s="87"/>
      <c r="G4" s="88"/>
      <c r="H4" s="85" t="s">
        <v>5</v>
      </c>
      <c r="I4" s="95"/>
      <c r="J4" s="95"/>
      <c r="K4" s="95"/>
      <c r="L4" s="95"/>
      <c r="M4" s="95"/>
      <c r="N4" s="95"/>
      <c r="O4" s="82"/>
      <c r="P4" s="80" t="s">
        <v>4</v>
      </c>
      <c r="Q4" s="80"/>
      <c r="R4" s="80"/>
      <c r="S4" s="79" t="s">
        <v>6</v>
      </c>
      <c r="T4" s="79"/>
      <c r="U4" s="79"/>
      <c r="V4" s="79"/>
      <c r="W4" s="79"/>
      <c r="X4" s="79"/>
      <c r="Y4" s="80" t="s">
        <v>7</v>
      </c>
      <c r="Z4" s="80"/>
      <c r="AA4" s="80"/>
      <c r="AB4" s="80"/>
      <c r="AC4" s="80"/>
      <c r="AD4" s="80"/>
      <c r="AE4" s="100" t="s">
        <v>18</v>
      </c>
      <c r="AF4" s="101"/>
      <c r="AG4" s="101"/>
      <c r="AH4" s="102"/>
      <c r="AI4" s="118" t="s">
        <v>16</v>
      </c>
      <c r="AJ4" s="119"/>
      <c r="AK4" s="124" t="s">
        <v>17</v>
      </c>
      <c r="AL4" s="125"/>
      <c r="AM4" s="124" t="s">
        <v>29</v>
      </c>
      <c r="AN4" s="130"/>
      <c r="AO4" s="130"/>
      <c r="AP4" s="125"/>
      <c r="AQ4" s="7">
        <f>AU1</f>
        <v>45870</v>
      </c>
      <c r="AR4" s="8" t="str">
        <f>IF(DAY(AR5)=1,AR5,"")</f>
        <v/>
      </c>
      <c r="AS4" s="8" t="str">
        <f t="shared" ref="AS4:DB4" si="0">IF(DAY(AS5)=1,AS5,"")</f>
        <v/>
      </c>
      <c r="AT4" s="8" t="str">
        <f t="shared" si="0"/>
        <v/>
      </c>
      <c r="AU4" s="8"/>
      <c r="AV4" s="8" t="str">
        <f t="shared" si="0"/>
        <v/>
      </c>
      <c r="AW4" s="8" t="str">
        <f t="shared" si="0"/>
        <v/>
      </c>
      <c r="AX4" s="8" t="str">
        <f t="shared" si="0"/>
        <v/>
      </c>
      <c r="AY4" s="8" t="str">
        <f t="shared" si="0"/>
        <v/>
      </c>
      <c r="AZ4" s="8" t="str">
        <f t="shared" si="0"/>
        <v/>
      </c>
      <c r="BA4" s="8" t="str">
        <f t="shared" si="0"/>
        <v/>
      </c>
      <c r="BB4" s="8" t="str">
        <f t="shared" si="0"/>
        <v/>
      </c>
      <c r="BC4" s="8" t="str">
        <f t="shared" si="0"/>
        <v/>
      </c>
      <c r="BD4" s="8" t="str">
        <f t="shared" si="0"/>
        <v/>
      </c>
      <c r="BE4" s="8" t="str">
        <f t="shared" si="0"/>
        <v/>
      </c>
      <c r="BF4" s="8" t="str">
        <f t="shared" si="0"/>
        <v/>
      </c>
      <c r="BG4" s="8" t="str">
        <f t="shared" si="0"/>
        <v/>
      </c>
      <c r="BH4" s="8" t="str">
        <f t="shared" si="0"/>
        <v/>
      </c>
      <c r="BI4" s="8" t="str">
        <f t="shared" si="0"/>
        <v/>
      </c>
      <c r="BJ4" s="8" t="str">
        <f t="shared" si="0"/>
        <v/>
      </c>
      <c r="BK4" s="8" t="str">
        <f t="shared" si="0"/>
        <v/>
      </c>
      <c r="BL4" s="8" t="str">
        <f t="shared" si="0"/>
        <v/>
      </c>
      <c r="BM4" s="8" t="str">
        <f t="shared" si="0"/>
        <v/>
      </c>
      <c r="BN4" s="8" t="str">
        <f t="shared" si="0"/>
        <v/>
      </c>
      <c r="BO4" s="8" t="str">
        <f t="shared" si="0"/>
        <v/>
      </c>
      <c r="BP4" s="8" t="str">
        <f t="shared" si="0"/>
        <v/>
      </c>
      <c r="BQ4" s="8" t="str">
        <f t="shared" si="0"/>
        <v/>
      </c>
      <c r="BR4" s="8" t="str">
        <f t="shared" si="0"/>
        <v/>
      </c>
      <c r="BS4" s="8" t="str">
        <f t="shared" si="0"/>
        <v/>
      </c>
      <c r="BT4" s="8" t="str">
        <f t="shared" si="0"/>
        <v/>
      </c>
      <c r="BU4" s="8" t="str">
        <f t="shared" si="0"/>
        <v/>
      </c>
      <c r="BV4" s="8">
        <f t="shared" si="0"/>
        <v>45901</v>
      </c>
      <c r="BW4" s="8" t="str">
        <f t="shared" si="0"/>
        <v/>
      </c>
      <c r="BX4" s="8" t="str">
        <f t="shared" si="0"/>
        <v/>
      </c>
      <c r="BY4" s="8" t="str">
        <f t="shared" si="0"/>
        <v/>
      </c>
      <c r="BZ4" s="8" t="str">
        <f t="shared" si="0"/>
        <v/>
      </c>
      <c r="CA4" s="8" t="str">
        <f t="shared" si="0"/>
        <v/>
      </c>
      <c r="CB4" s="8" t="str">
        <f t="shared" si="0"/>
        <v/>
      </c>
      <c r="CC4" s="8" t="str">
        <f t="shared" si="0"/>
        <v/>
      </c>
      <c r="CD4" s="8" t="str">
        <f t="shared" si="0"/>
        <v/>
      </c>
      <c r="CE4" s="8" t="str">
        <f t="shared" si="0"/>
        <v/>
      </c>
      <c r="CF4" s="8" t="str">
        <f t="shared" si="0"/>
        <v/>
      </c>
      <c r="CG4" s="8" t="str">
        <f t="shared" si="0"/>
        <v/>
      </c>
      <c r="CH4" s="8" t="str">
        <f t="shared" si="0"/>
        <v/>
      </c>
      <c r="CI4" s="8" t="str">
        <f t="shared" si="0"/>
        <v/>
      </c>
      <c r="CJ4" s="8" t="str">
        <f t="shared" si="0"/>
        <v/>
      </c>
      <c r="CK4" s="8" t="str">
        <f t="shared" si="0"/>
        <v/>
      </c>
      <c r="CL4" s="8" t="str">
        <f t="shared" si="0"/>
        <v/>
      </c>
      <c r="CM4" s="8" t="str">
        <f t="shared" si="0"/>
        <v/>
      </c>
      <c r="CN4" s="8" t="str">
        <f t="shared" si="0"/>
        <v/>
      </c>
      <c r="CO4" s="8" t="str">
        <f t="shared" si="0"/>
        <v/>
      </c>
      <c r="CP4" s="8" t="str">
        <f t="shared" si="0"/>
        <v/>
      </c>
      <c r="CQ4" s="8" t="str">
        <f t="shared" si="0"/>
        <v/>
      </c>
      <c r="CR4" s="8" t="str">
        <f t="shared" si="0"/>
        <v/>
      </c>
      <c r="CS4" s="8" t="str">
        <f t="shared" si="0"/>
        <v/>
      </c>
      <c r="CT4" s="8" t="str">
        <f t="shared" si="0"/>
        <v/>
      </c>
      <c r="CU4" s="8" t="str">
        <f t="shared" si="0"/>
        <v/>
      </c>
      <c r="CV4" s="8" t="str">
        <f t="shared" si="0"/>
        <v/>
      </c>
      <c r="CW4" s="8" t="str">
        <f t="shared" si="0"/>
        <v/>
      </c>
      <c r="CX4" s="8" t="str">
        <f t="shared" si="0"/>
        <v/>
      </c>
      <c r="CY4" s="8" t="str">
        <f t="shared" si="0"/>
        <v/>
      </c>
      <c r="CZ4" s="8">
        <f t="shared" si="0"/>
        <v>45931</v>
      </c>
      <c r="DA4" s="8" t="str">
        <f t="shared" si="0"/>
        <v/>
      </c>
      <c r="DB4" s="9" t="str">
        <f t="shared" si="0"/>
        <v/>
      </c>
      <c r="DC4" s="3"/>
      <c r="DD4" s="3"/>
    </row>
    <row r="5" spans="1:108" s="2" customFormat="1" ht="16">
      <c r="A5" s="80"/>
      <c r="B5" s="80"/>
      <c r="C5" s="89"/>
      <c r="D5" s="90"/>
      <c r="E5" s="90"/>
      <c r="F5" s="90"/>
      <c r="G5" s="91"/>
      <c r="H5" s="96"/>
      <c r="I5" s="97"/>
      <c r="J5" s="97"/>
      <c r="K5" s="97"/>
      <c r="L5" s="97"/>
      <c r="M5" s="97"/>
      <c r="N5" s="97"/>
      <c r="O5" s="98"/>
      <c r="P5" s="80"/>
      <c r="Q5" s="80"/>
      <c r="R5" s="80"/>
      <c r="S5" s="79" t="s">
        <v>1</v>
      </c>
      <c r="T5" s="79"/>
      <c r="U5" s="79"/>
      <c r="V5" s="79" t="s">
        <v>2</v>
      </c>
      <c r="W5" s="79"/>
      <c r="X5" s="79"/>
      <c r="Y5" s="80" t="s">
        <v>1</v>
      </c>
      <c r="Z5" s="80"/>
      <c r="AA5" s="80"/>
      <c r="AB5" s="80" t="s">
        <v>2</v>
      </c>
      <c r="AC5" s="80"/>
      <c r="AD5" s="80"/>
      <c r="AE5" s="81" t="s">
        <v>6</v>
      </c>
      <c r="AF5" s="82"/>
      <c r="AG5" s="85" t="s">
        <v>7</v>
      </c>
      <c r="AH5" s="82"/>
      <c r="AI5" s="120"/>
      <c r="AJ5" s="121"/>
      <c r="AK5" s="126"/>
      <c r="AL5" s="127"/>
      <c r="AM5" s="126"/>
      <c r="AN5" s="131"/>
      <c r="AO5" s="131"/>
      <c r="AP5" s="127"/>
      <c r="AQ5" s="5">
        <f>AU1</f>
        <v>45870</v>
      </c>
      <c r="AR5" s="5">
        <f t="shared" ref="AR5:DB5" si="1">AQ5+1</f>
        <v>45871</v>
      </c>
      <c r="AS5" s="5">
        <f t="shared" si="1"/>
        <v>45872</v>
      </c>
      <c r="AT5" s="5">
        <f t="shared" si="1"/>
        <v>45873</v>
      </c>
      <c r="AU5" s="5">
        <f t="shared" si="1"/>
        <v>45874</v>
      </c>
      <c r="AV5" s="5">
        <f t="shared" si="1"/>
        <v>45875</v>
      </c>
      <c r="AW5" s="5">
        <f t="shared" si="1"/>
        <v>45876</v>
      </c>
      <c r="AX5" s="5">
        <f t="shared" si="1"/>
        <v>45877</v>
      </c>
      <c r="AY5" s="5">
        <f t="shared" si="1"/>
        <v>45878</v>
      </c>
      <c r="AZ5" s="5">
        <f t="shared" si="1"/>
        <v>45879</v>
      </c>
      <c r="BA5" s="18">
        <f t="shared" si="1"/>
        <v>45880</v>
      </c>
      <c r="BB5" s="5">
        <f t="shared" si="1"/>
        <v>45881</v>
      </c>
      <c r="BC5" s="5">
        <f t="shared" si="1"/>
        <v>45882</v>
      </c>
      <c r="BD5" s="18">
        <f t="shared" si="1"/>
        <v>45883</v>
      </c>
      <c r="BE5" s="18">
        <f t="shared" si="1"/>
        <v>45884</v>
      </c>
      <c r="BF5" s="5">
        <f t="shared" si="1"/>
        <v>45885</v>
      </c>
      <c r="BG5" s="5">
        <f t="shared" si="1"/>
        <v>45886</v>
      </c>
      <c r="BH5" s="5">
        <f t="shared" si="1"/>
        <v>45887</v>
      </c>
      <c r="BI5" s="5">
        <f t="shared" si="1"/>
        <v>45888</v>
      </c>
      <c r="BJ5" s="5">
        <f t="shared" si="1"/>
        <v>45889</v>
      </c>
      <c r="BK5" s="5">
        <f t="shared" si="1"/>
        <v>45890</v>
      </c>
      <c r="BL5" s="5">
        <f t="shared" si="1"/>
        <v>45891</v>
      </c>
      <c r="BM5" s="5">
        <f t="shared" si="1"/>
        <v>45892</v>
      </c>
      <c r="BN5" s="5">
        <f t="shared" si="1"/>
        <v>45893</v>
      </c>
      <c r="BO5" s="5">
        <f t="shared" si="1"/>
        <v>45894</v>
      </c>
      <c r="BP5" s="5">
        <f t="shared" si="1"/>
        <v>45895</v>
      </c>
      <c r="BQ5" s="5">
        <f t="shared" si="1"/>
        <v>45896</v>
      </c>
      <c r="BR5" s="5">
        <f t="shared" si="1"/>
        <v>45897</v>
      </c>
      <c r="BS5" s="5">
        <f t="shared" si="1"/>
        <v>45898</v>
      </c>
      <c r="BT5" s="5">
        <f t="shared" si="1"/>
        <v>45899</v>
      </c>
      <c r="BU5" s="5">
        <f t="shared" si="1"/>
        <v>45900</v>
      </c>
      <c r="BV5" s="5">
        <f t="shared" si="1"/>
        <v>45901</v>
      </c>
      <c r="BW5" s="5">
        <f t="shared" si="1"/>
        <v>45902</v>
      </c>
      <c r="BX5" s="5">
        <f t="shared" si="1"/>
        <v>45903</v>
      </c>
      <c r="BY5" s="5">
        <f t="shared" si="1"/>
        <v>45904</v>
      </c>
      <c r="BZ5" s="5">
        <f t="shared" si="1"/>
        <v>45905</v>
      </c>
      <c r="CA5" s="5">
        <f t="shared" si="1"/>
        <v>45906</v>
      </c>
      <c r="CB5" s="5">
        <f t="shared" si="1"/>
        <v>45907</v>
      </c>
      <c r="CC5" s="5">
        <f t="shared" si="1"/>
        <v>45908</v>
      </c>
      <c r="CD5" s="5">
        <f t="shared" si="1"/>
        <v>45909</v>
      </c>
      <c r="CE5" s="5">
        <f t="shared" si="1"/>
        <v>45910</v>
      </c>
      <c r="CF5" s="5">
        <f t="shared" si="1"/>
        <v>45911</v>
      </c>
      <c r="CG5" s="5">
        <f t="shared" si="1"/>
        <v>45912</v>
      </c>
      <c r="CH5" s="5">
        <f t="shared" si="1"/>
        <v>45913</v>
      </c>
      <c r="CI5" s="5">
        <f t="shared" si="1"/>
        <v>45914</v>
      </c>
      <c r="CJ5" s="5">
        <f t="shared" si="1"/>
        <v>45915</v>
      </c>
      <c r="CK5" s="5">
        <f t="shared" si="1"/>
        <v>45916</v>
      </c>
      <c r="CL5" s="5">
        <f t="shared" si="1"/>
        <v>45917</v>
      </c>
      <c r="CM5" s="5">
        <f t="shared" si="1"/>
        <v>45918</v>
      </c>
      <c r="CN5" s="5">
        <f t="shared" si="1"/>
        <v>45919</v>
      </c>
      <c r="CO5" s="5">
        <f t="shared" si="1"/>
        <v>45920</v>
      </c>
      <c r="CP5" s="5">
        <f t="shared" si="1"/>
        <v>45921</v>
      </c>
      <c r="CQ5" s="5">
        <f t="shared" si="1"/>
        <v>45922</v>
      </c>
      <c r="CR5" s="5">
        <f t="shared" si="1"/>
        <v>45923</v>
      </c>
      <c r="CS5" s="5">
        <f t="shared" si="1"/>
        <v>45924</v>
      </c>
      <c r="CT5" s="5">
        <f t="shared" si="1"/>
        <v>45925</v>
      </c>
      <c r="CU5" s="5">
        <f t="shared" si="1"/>
        <v>45926</v>
      </c>
      <c r="CV5" s="5">
        <f t="shared" si="1"/>
        <v>45927</v>
      </c>
      <c r="CW5" s="5">
        <f t="shared" si="1"/>
        <v>45928</v>
      </c>
      <c r="CX5" s="5">
        <f t="shared" si="1"/>
        <v>45929</v>
      </c>
      <c r="CY5" s="5">
        <f t="shared" si="1"/>
        <v>45930</v>
      </c>
      <c r="CZ5" s="5">
        <f t="shared" si="1"/>
        <v>45931</v>
      </c>
      <c r="DA5" s="5">
        <f t="shared" si="1"/>
        <v>45932</v>
      </c>
      <c r="DB5" s="5">
        <f t="shared" si="1"/>
        <v>45933</v>
      </c>
    </row>
    <row r="6" spans="1:108" ht="17">
      <c r="A6" s="80"/>
      <c r="B6" s="80"/>
      <c r="C6" s="92"/>
      <c r="D6" s="93"/>
      <c r="E6" s="93"/>
      <c r="F6" s="93"/>
      <c r="G6" s="94"/>
      <c r="H6" s="83"/>
      <c r="I6" s="99"/>
      <c r="J6" s="99"/>
      <c r="K6" s="99"/>
      <c r="L6" s="99"/>
      <c r="M6" s="99"/>
      <c r="N6" s="99"/>
      <c r="O6" s="84"/>
      <c r="P6" s="80"/>
      <c r="Q6" s="80"/>
      <c r="R6" s="80"/>
      <c r="S6" s="79"/>
      <c r="T6" s="79"/>
      <c r="U6" s="79"/>
      <c r="V6" s="79"/>
      <c r="W6" s="79"/>
      <c r="X6" s="79"/>
      <c r="Y6" s="80"/>
      <c r="Z6" s="80"/>
      <c r="AA6" s="80"/>
      <c r="AB6" s="80"/>
      <c r="AC6" s="80"/>
      <c r="AD6" s="80"/>
      <c r="AE6" s="83"/>
      <c r="AF6" s="84"/>
      <c r="AG6" s="83"/>
      <c r="AH6" s="84"/>
      <c r="AI6" s="122"/>
      <c r="AJ6" s="123"/>
      <c r="AK6" s="128"/>
      <c r="AL6" s="129"/>
      <c r="AM6" s="128"/>
      <c r="AN6" s="132"/>
      <c r="AO6" s="132"/>
      <c r="AP6" s="129"/>
      <c r="AQ6" s="6" t="str">
        <f>TEXT(AQ5,"aaa")</f>
        <v>金</v>
      </c>
      <c r="AR6" s="6" t="str">
        <f t="shared" ref="AR6:AU6" si="2">TEXT(AR5,"aaa")</f>
        <v>土</v>
      </c>
      <c r="AS6" s="6" t="str">
        <f t="shared" si="2"/>
        <v>日</v>
      </c>
      <c r="AT6" s="6" t="str">
        <f t="shared" si="2"/>
        <v>月</v>
      </c>
      <c r="AU6" s="6" t="str">
        <f t="shared" si="2"/>
        <v>火</v>
      </c>
      <c r="AV6" s="6" t="str">
        <f>TEXT(AV5,"aaa")</f>
        <v>水</v>
      </c>
      <c r="AW6" s="6" t="str">
        <f t="shared" ref="AW6:DB6" si="3">TEXT(AW5,"aaa")</f>
        <v>木</v>
      </c>
      <c r="AX6" s="6" t="str">
        <f t="shared" si="3"/>
        <v>金</v>
      </c>
      <c r="AY6" s="6" t="str">
        <f t="shared" si="3"/>
        <v>土</v>
      </c>
      <c r="AZ6" s="6" t="str">
        <f t="shared" si="3"/>
        <v>日</v>
      </c>
      <c r="BA6" s="19" t="str">
        <f t="shared" si="3"/>
        <v>月</v>
      </c>
      <c r="BB6" s="6" t="str">
        <f t="shared" si="3"/>
        <v>火</v>
      </c>
      <c r="BC6" s="6" t="str">
        <f t="shared" si="3"/>
        <v>水</v>
      </c>
      <c r="BD6" s="19" t="str">
        <f t="shared" si="3"/>
        <v>木</v>
      </c>
      <c r="BE6" s="19" t="str">
        <f t="shared" si="3"/>
        <v>金</v>
      </c>
      <c r="BF6" s="6" t="str">
        <f t="shared" si="3"/>
        <v>土</v>
      </c>
      <c r="BG6" s="6" t="str">
        <f t="shared" si="3"/>
        <v>日</v>
      </c>
      <c r="BH6" s="6" t="str">
        <f t="shared" si="3"/>
        <v>月</v>
      </c>
      <c r="BI6" s="6" t="str">
        <f t="shared" si="3"/>
        <v>火</v>
      </c>
      <c r="BJ6" s="6" t="str">
        <f t="shared" si="3"/>
        <v>水</v>
      </c>
      <c r="BK6" s="6" t="str">
        <f t="shared" si="3"/>
        <v>木</v>
      </c>
      <c r="BL6" s="6" t="str">
        <f t="shared" si="3"/>
        <v>金</v>
      </c>
      <c r="BM6" s="6" t="str">
        <f t="shared" si="3"/>
        <v>土</v>
      </c>
      <c r="BN6" s="6" t="str">
        <f t="shared" si="3"/>
        <v>日</v>
      </c>
      <c r="BO6" s="6" t="str">
        <f t="shared" si="3"/>
        <v>月</v>
      </c>
      <c r="BP6" s="6" t="str">
        <f t="shared" si="3"/>
        <v>火</v>
      </c>
      <c r="BQ6" s="6" t="str">
        <f t="shared" si="3"/>
        <v>水</v>
      </c>
      <c r="BR6" s="6" t="str">
        <f t="shared" si="3"/>
        <v>木</v>
      </c>
      <c r="BS6" s="6" t="str">
        <f t="shared" si="3"/>
        <v>金</v>
      </c>
      <c r="BT6" s="6" t="str">
        <f t="shared" si="3"/>
        <v>土</v>
      </c>
      <c r="BU6" s="6" t="str">
        <f t="shared" si="3"/>
        <v>日</v>
      </c>
      <c r="BV6" s="6" t="str">
        <f t="shared" si="3"/>
        <v>月</v>
      </c>
      <c r="BW6" s="6" t="str">
        <f t="shared" si="3"/>
        <v>火</v>
      </c>
      <c r="BX6" s="6" t="str">
        <f t="shared" si="3"/>
        <v>水</v>
      </c>
      <c r="BY6" s="6" t="str">
        <f t="shared" si="3"/>
        <v>木</v>
      </c>
      <c r="BZ6" s="6" t="str">
        <f t="shared" si="3"/>
        <v>金</v>
      </c>
      <c r="CA6" s="6" t="str">
        <f t="shared" si="3"/>
        <v>土</v>
      </c>
      <c r="CB6" s="6" t="str">
        <f t="shared" si="3"/>
        <v>日</v>
      </c>
      <c r="CC6" s="6" t="str">
        <f t="shared" si="3"/>
        <v>月</v>
      </c>
      <c r="CD6" s="6" t="str">
        <f t="shared" si="3"/>
        <v>火</v>
      </c>
      <c r="CE6" s="6" t="str">
        <f t="shared" si="3"/>
        <v>水</v>
      </c>
      <c r="CF6" s="6" t="str">
        <f t="shared" si="3"/>
        <v>木</v>
      </c>
      <c r="CG6" s="6" t="str">
        <f t="shared" si="3"/>
        <v>金</v>
      </c>
      <c r="CH6" s="6" t="str">
        <f t="shared" si="3"/>
        <v>土</v>
      </c>
      <c r="CI6" s="6" t="str">
        <f t="shared" si="3"/>
        <v>日</v>
      </c>
      <c r="CJ6" s="6" t="str">
        <f t="shared" si="3"/>
        <v>月</v>
      </c>
      <c r="CK6" s="6" t="str">
        <f t="shared" si="3"/>
        <v>火</v>
      </c>
      <c r="CL6" s="6" t="str">
        <f t="shared" si="3"/>
        <v>水</v>
      </c>
      <c r="CM6" s="6" t="str">
        <f t="shared" si="3"/>
        <v>木</v>
      </c>
      <c r="CN6" s="6" t="str">
        <f t="shared" si="3"/>
        <v>金</v>
      </c>
      <c r="CO6" s="6" t="str">
        <f t="shared" si="3"/>
        <v>土</v>
      </c>
      <c r="CP6" s="6" t="str">
        <f t="shared" si="3"/>
        <v>日</v>
      </c>
      <c r="CQ6" s="6" t="str">
        <f t="shared" si="3"/>
        <v>月</v>
      </c>
      <c r="CR6" s="6" t="str">
        <f t="shared" si="3"/>
        <v>火</v>
      </c>
      <c r="CS6" s="6" t="str">
        <f t="shared" si="3"/>
        <v>水</v>
      </c>
      <c r="CT6" s="6" t="str">
        <f t="shared" si="3"/>
        <v>木</v>
      </c>
      <c r="CU6" s="6" t="str">
        <f t="shared" si="3"/>
        <v>金</v>
      </c>
      <c r="CV6" s="6" t="str">
        <f t="shared" si="3"/>
        <v>土</v>
      </c>
      <c r="CW6" s="6" t="str">
        <f t="shared" si="3"/>
        <v>日</v>
      </c>
      <c r="CX6" s="6" t="str">
        <f t="shared" si="3"/>
        <v>月</v>
      </c>
      <c r="CY6" s="6" t="str">
        <f t="shared" si="3"/>
        <v>火</v>
      </c>
      <c r="CZ6" s="6" t="str">
        <f t="shared" si="3"/>
        <v>水</v>
      </c>
      <c r="DA6" s="6" t="str">
        <f t="shared" si="3"/>
        <v>木</v>
      </c>
      <c r="DB6" s="6" t="str">
        <f t="shared" si="3"/>
        <v>金</v>
      </c>
    </row>
    <row r="7" spans="1:108" ht="17">
      <c r="A7" s="65">
        <v>1</v>
      </c>
      <c r="B7" s="65"/>
      <c r="C7" s="66" t="s">
        <v>51</v>
      </c>
      <c r="D7" s="66"/>
      <c r="E7" s="66"/>
      <c r="F7" s="66"/>
      <c r="G7" s="66"/>
      <c r="H7" s="69" t="s">
        <v>52</v>
      </c>
      <c r="I7" s="70"/>
      <c r="J7" s="70"/>
      <c r="K7" s="70"/>
      <c r="L7" s="70"/>
      <c r="M7" s="70"/>
      <c r="N7" s="70"/>
      <c r="O7" s="71"/>
      <c r="P7" s="69" t="s">
        <v>53</v>
      </c>
      <c r="Q7" s="70"/>
      <c r="R7" s="71"/>
      <c r="S7" s="67">
        <v>45870</v>
      </c>
      <c r="T7" s="67"/>
      <c r="U7" s="67"/>
      <c r="V7" s="67">
        <v>45875</v>
      </c>
      <c r="W7" s="67"/>
      <c r="X7" s="67"/>
      <c r="Y7" s="67"/>
      <c r="Z7" s="67"/>
      <c r="AA7" s="67"/>
      <c r="AB7" s="67"/>
      <c r="AC7" s="67"/>
      <c r="AD7" s="67"/>
      <c r="AE7" s="68">
        <v>32</v>
      </c>
      <c r="AF7" s="58"/>
      <c r="AG7" s="72"/>
      <c r="AH7" s="73"/>
      <c r="AI7" s="74"/>
      <c r="AJ7" s="75"/>
      <c r="AK7" s="74"/>
      <c r="AL7" s="75"/>
      <c r="AM7" s="61">
        <f>AE7*AK7-AI7*AE7</f>
        <v>0</v>
      </c>
      <c r="AN7" s="62"/>
      <c r="AO7" s="62"/>
      <c r="AP7" s="63"/>
      <c r="AQ7" s="6"/>
      <c r="AR7" s="6"/>
      <c r="AS7" s="20"/>
      <c r="AT7" s="6"/>
      <c r="AU7" s="6"/>
      <c r="AV7" s="6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</row>
    <row r="8" spans="1:108" ht="17">
      <c r="A8" s="65"/>
      <c r="B8" s="65"/>
      <c r="C8" s="66"/>
      <c r="D8" s="66"/>
      <c r="E8" s="66"/>
      <c r="F8" s="66"/>
      <c r="G8" s="66"/>
      <c r="H8" s="69"/>
      <c r="I8" s="70"/>
      <c r="J8" s="70"/>
      <c r="K8" s="70"/>
      <c r="L8" s="70"/>
      <c r="M8" s="70"/>
      <c r="N8" s="70"/>
      <c r="O8" s="71"/>
      <c r="P8" s="69"/>
      <c r="Q8" s="70"/>
      <c r="R8" s="71"/>
      <c r="S8" s="76"/>
      <c r="T8" s="77"/>
      <c r="U8" s="78"/>
      <c r="V8" s="67"/>
      <c r="W8" s="77"/>
      <c r="X8" s="78"/>
      <c r="Y8" s="67"/>
      <c r="Z8" s="67"/>
      <c r="AA8" s="67"/>
      <c r="AB8" s="67"/>
      <c r="AC8" s="67"/>
      <c r="AD8" s="67"/>
      <c r="AE8" s="68"/>
      <c r="AF8" s="58"/>
      <c r="AG8" s="57"/>
      <c r="AH8" s="58"/>
      <c r="AI8" s="59"/>
      <c r="AJ8" s="60"/>
      <c r="AK8" s="59"/>
      <c r="AL8" s="60"/>
      <c r="AM8" s="61">
        <f t="shared" ref="AM8" si="4">AE8*AK8-AI8*AE8</f>
        <v>0</v>
      </c>
      <c r="AN8" s="62"/>
      <c r="AO8" s="62"/>
      <c r="AP8" s="63"/>
      <c r="AQ8" s="4"/>
      <c r="AR8" s="4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</row>
    <row r="9" spans="1:108" ht="17">
      <c r="A9" s="65"/>
      <c r="B9" s="65"/>
      <c r="C9" s="66"/>
      <c r="D9" s="66"/>
      <c r="E9" s="66"/>
      <c r="F9" s="66"/>
      <c r="G9" s="66"/>
      <c r="H9" s="69"/>
      <c r="I9" s="70"/>
      <c r="J9" s="70"/>
      <c r="K9" s="70"/>
      <c r="L9" s="70"/>
      <c r="M9" s="70"/>
      <c r="N9" s="70"/>
      <c r="O9" s="71"/>
      <c r="P9" s="69"/>
      <c r="Q9" s="70"/>
      <c r="R9" s="71"/>
      <c r="S9" s="76"/>
      <c r="T9" s="77"/>
      <c r="U9" s="78"/>
      <c r="V9" s="67"/>
      <c r="W9" s="77"/>
      <c r="X9" s="78"/>
      <c r="Y9" s="67"/>
      <c r="Z9" s="67"/>
      <c r="AA9" s="67"/>
      <c r="AB9" s="67"/>
      <c r="AC9" s="67"/>
      <c r="AD9" s="67"/>
      <c r="AE9" s="68"/>
      <c r="AF9" s="58"/>
      <c r="AG9" s="72"/>
      <c r="AH9" s="73"/>
      <c r="AI9" s="74"/>
      <c r="AJ9" s="75"/>
      <c r="AK9" s="74"/>
      <c r="AL9" s="75"/>
      <c r="AM9" s="61">
        <f>AE9*AK9-AI9*AE9</f>
        <v>0</v>
      </c>
      <c r="AN9" s="62"/>
      <c r="AO9" s="62"/>
      <c r="AP9" s="63"/>
      <c r="AQ9" s="4"/>
      <c r="AR9" s="4"/>
      <c r="AS9" s="4"/>
      <c r="AT9" s="4"/>
      <c r="AU9" s="4"/>
      <c r="AV9" s="4"/>
      <c r="AW9" s="4"/>
      <c r="AX9" s="4"/>
      <c r="AY9" s="10"/>
      <c r="AZ9" s="10"/>
      <c r="BA9" s="10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</row>
    <row r="10" spans="1:108" ht="17">
      <c r="A10" s="65"/>
      <c r="B10" s="65"/>
      <c r="C10" s="66"/>
      <c r="D10" s="66"/>
      <c r="E10" s="66"/>
      <c r="F10" s="66"/>
      <c r="G10" s="66"/>
      <c r="H10" s="69"/>
      <c r="I10" s="70"/>
      <c r="J10" s="70"/>
      <c r="K10" s="70"/>
      <c r="L10" s="70"/>
      <c r="M10" s="70"/>
      <c r="N10" s="70"/>
      <c r="O10" s="71"/>
      <c r="P10" s="69"/>
      <c r="Q10" s="70"/>
      <c r="R10" s="71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8"/>
      <c r="AF10" s="58"/>
      <c r="AG10" s="72"/>
      <c r="AH10" s="73"/>
      <c r="AI10" s="74"/>
      <c r="AJ10" s="75"/>
      <c r="AK10" s="74"/>
      <c r="AL10" s="75"/>
      <c r="AM10" s="61">
        <f t="shared" ref="AM10:AM35" si="5">AE10*AK10-AI10*AE10</f>
        <v>0</v>
      </c>
      <c r="AN10" s="62"/>
      <c r="AO10" s="62"/>
      <c r="AP10" s="63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</row>
    <row r="11" spans="1:108" ht="17">
      <c r="A11" s="65"/>
      <c r="B11" s="65"/>
      <c r="C11" s="66"/>
      <c r="D11" s="66"/>
      <c r="E11" s="66"/>
      <c r="F11" s="66"/>
      <c r="G11" s="66"/>
      <c r="H11" s="11"/>
      <c r="I11" s="12"/>
      <c r="J11" s="12"/>
      <c r="K11" s="12"/>
      <c r="L11" s="12"/>
      <c r="M11" s="12"/>
      <c r="N11" s="12"/>
      <c r="O11" s="13"/>
      <c r="P11" s="69"/>
      <c r="Q11" s="70"/>
      <c r="R11" s="71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8"/>
      <c r="AF11" s="58"/>
      <c r="AG11" s="72"/>
      <c r="AH11" s="73"/>
      <c r="AI11" s="74"/>
      <c r="AJ11" s="75"/>
      <c r="AK11" s="74"/>
      <c r="AL11" s="75"/>
      <c r="AM11" s="61">
        <f t="shared" si="5"/>
        <v>0</v>
      </c>
      <c r="AN11" s="62"/>
      <c r="AO11" s="62"/>
      <c r="AP11" s="63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</row>
    <row r="12" spans="1:108" ht="17">
      <c r="A12" s="65"/>
      <c r="B12" s="65"/>
      <c r="C12" s="66"/>
      <c r="D12" s="66"/>
      <c r="E12" s="66"/>
      <c r="F12" s="66"/>
      <c r="G12" s="66"/>
      <c r="H12" s="11"/>
      <c r="I12" s="12"/>
      <c r="J12" s="12"/>
      <c r="K12" s="12"/>
      <c r="L12" s="12"/>
      <c r="M12" s="12"/>
      <c r="N12" s="12"/>
      <c r="O12" s="13"/>
      <c r="P12" s="69"/>
      <c r="Q12" s="70"/>
      <c r="R12" s="71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8"/>
      <c r="AF12" s="58"/>
      <c r="AG12" s="72"/>
      <c r="AH12" s="73"/>
      <c r="AI12" s="74"/>
      <c r="AJ12" s="75"/>
      <c r="AK12" s="74"/>
      <c r="AL12" s="75"/>
      <c r="AM12" s="61">
        <f t="shared" si="5"/>
        <v>0</v>
      </c>
      <c r="AN12" s="62"/>
      <c r="AO12" s="62"/>
      <c r="AP12" s="63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</row>
    <row r="13" spans="1:108" ht="17">
      <c r="A13" s="65"/>
      <c r="B13" s="65"/>
      <c r="C13" s="66"/>
      <c r="D13" s="66"/>
      <c r="E13" s="66"/>
      <c r="F13" s="66"/>
      <c r="G13" s="66"/>
      <c r="H13" s="69"/>
      <c r="I13" s="70"/>
      <c r="J13" s="70"/>
      <c r="K13" s="70"/>
      <c r="L13" s="70"/>
      <c r="M13" s="70"/>
      <c r="N13" s="70"/>
      <c r="O13" s="71"/>
      <c r="P13" s="69"/>
      <c r="Q13" s="70"/>
      <c r="R13" s="71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8"/>
      <c r="AF13" s="58"/>
      <c r="AG13" s="72"/>
      <c r="AH13" s="73"/>
      <c r="AI13" s="74"/>
      <c r="AJ13" s="75"/>
      <c r="AK13" s="74"/>
      <c r="AL13" s="75"/>
      <c r="AM13" s="61">
        <f t="shared" si="5"/>
        <v>0</v>
      </c>
      <c r="AN13" s="62"/>
      <c r="AO13" s="62"/>
      <c r="AP13" s="63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</row>
    <row r="14" spans="1:108" ht="17">
      <c r="A14" s="65"/>
      <c r="B14" s="65"/>
      <c r="C14" s="66"/>
      <c r="D14" s="66"/>
      <c r="E14" s="66"/>
      <c r="F14" s="66"/>
      <c r="G14" s="66"/>
      <c r="H14" s="69"/>
      <c r="I14" s="70"/>
      <c r="J14" s="70"/>
      <c r="K14" s="70"/>
      <c r="L14" s="70"/>
      <c r="M14" s="70"/>
      <c r="N14" s="70"/>
      <c r="O14" s="71"/>
      <c r="P14" s="69"/>
      <c r="Q14" s="70"/>
      <c r="R14" s="71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8"/>
      <c r="AF14" s="58"/>
      <c r="AG14" s="72"/>
      <c r="AH14" s="73"/>
      <c r="AI14" s="74"/>
      <c r="AJ14" s="75"/>
      <c r="AK14" s="74"/>
      <c r="AL14" s="75"/>
      <c r="AM14" s="61">
        <f t="shared" si="5"/>
        <v>0</v>
      </c>
      <c r="AN14" s="62"/>
      <c r="AO14" s="62"/>
      <c r="AP14" s="63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</row>
    <row r="15" spans="1:108" ht="17">
      <c r="A15" s="65"/>
      <c r="B15" s="65"/>
      <c r="H15" s="11"/>
      <c r="I15" s="12"/>
      <c r="J15" s="12"/>
      <c r="K15" s="12"/>
      <c r="L15" s="12"/>
      <c r="M15" s="12"/>
      <c r="N15" s="12"/>
      <c r="O15" s="13"/>
      <c r="P15" s="69"/>
      <c r="Q15" s="70"/>
      <c r="R15" s="71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8"/>
      <c r="AF15" s="58"/>
      <c r="AG15" s="72"/>
      <c r="AH15" s="73"/>
      <c r="AI15" s="74"/>
      <c r="AJ15" s="75"/>
      <c r="AK15" s="74"/>
      <c r="AL15" s="75"/>
      <c r="AM15" s="61">
        <f t="shared" si="5"/>
        <v>0</v>
      </c>
      <c r="AN15" s="62"/>
      <c r="AO15" s="62"/>
      <c r="AP15" s="63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</row>
    <row r="16" spans="1:108" ht="17">
      <c r="A16" s="65"/>
      <c r="B16" s="65"/>
      <c r="C16" s="66"/>
      <c r="D16" s="66"/>
      <c r="E16" s="66"/>
      <c r="F16" s="66"/>
      <c r="G16" s="66"/>
      <c r="H16" s="11"/>
      <c r="I16" s="12"/>
      <c r="J16" s="12"/>
      <c r="K16" s="12"/>
      <c r="L16" s="12"/>
      <c r="M16" s="12"/>
      <c r="N16" s="12"/>
      <c r="O16" s="13"/>
      <c r="P16" s="69"/>
      <c r="Q16" s="70"/>
      <c r="R16" s="71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8"/>
      <c r="AF16" s="58"/>
      <c r="AG16" s="72"/>
      <c r="AH16" s="73"/>
      <c r="AI16" s="74"/>
      <c r="AJ16" s="75"/>
      <c r="AK16" s="74"/>
      <c r="AL16" s="75"/>
      <c r="AM16" s="61">
        <f t="shared" si="5"/>
        <v>0</v>
      </c>
      <c r="AN16" s="62"/>
      <c r="AO16" s="62"/>
      <c r="AP16" s="63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</row>
    <row r="17" spans="1:106" ht="17">
      <c r="A17" s="65"/>
      <c r="B17" s="65"/>
      <c r="C17" s="66"/>
      <c r="D17" s="66"/>
      <c r="E17" s="66"/>
      <c r="F17" s="66"/>
      <c r="G17" s="66"/>
      <c r="H17" s="69"/>
      <c r="I17" s="70"/>
      <c r="J17" s="70"/>
      <c r="K17" s="70"/>
      <c r="L17" s="70"/>
      <c r="M17" s="70"/>
      <c r="N17" s="70"/>
      <c r="O17" s="71"/>
      <c r="P17" s="69"/>
      <c r="Q17" s="70"/>
      <c r="R17" s="71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8"/>
      <c r="AF17" s="58"/>
      <c r="AG17" s="72"/>
      <c r="AH17" s="73"/>
      <c r="AI17" s="74"/>
      <c r="AJ17" s="75"/>
      <c r="AK17" s="74"/>
      <c r="AL17" s="75"/>
      <c r="AM17" s="61">
        <f t="shared" si="5"/>
        <v>0</v>
      </c>
      <c r="AN17" s="62"/>
      <c r="AO17" s="62"/>
      <c r="AP17" s="63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</row>
    <row r="18" spans="1:106" ht="17">
      <c r="A18" s="65"/>
      <c r="B18" s="65"/>
      <c r="C18" s="66"/>
      <c r="D18" s="66"/>
      <c r="E18" s="66"/>
      <c r="F18" s="66"/>
      <c r="G18" s="66"/>
      <c r="H18" s="69"/>
      <c r="I18" s="70"/>
      <c r="J18" s="70"/>
      <c r="K18" s="70"/>
      <c r="L18" s="70"/>
      <c r="M18" s="70"/>
      <c r="N18" s="70"/>
      <c r="O18" s="71"/>
      <c r="P18" s="69"/>
      <c r="Q18" s="70"/>
      <c r="R18" s="71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8"/>
      <c r="AF18" s="58"/>
      <c r="AG18" s="72"/>
      <c r="AH18" s="73"/>
      <c r="AI18" s="74"/>
      <c r="AJ18" s="75"/>
      <c r="AK18" s="74"/>
      <c r="AL18" s="75"/>
      <c r="AM18" s="61">
        <f t="shared" si="5"/>
        <v>0</v>
      </c>
      <c r="AN18" s="62"/>
      <c r="AO18" s="62"/>
      <c r="AP18" s="63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</row>
    <row r="19" spans="1:106" ht="17">
      <c r="A19" s="65"/>
      <c r="B19" s="65"/>
      <c r="C19" s="66"/>
      <c r="D19" s="66"/>
      <c r="E19" s="66"/>
      <c r="F19" s="66"/>
      <c r="G19" s="66"/>
      <c r="H19" s="69"/>
      <c r="I19" s="70"/>
      <c r="J19" s="70"/>
      <c r="K19" s="70"/>
      <c r="L19" s="70"/>
      <c r="M19" s="70"/>
      <c r="N19" s="70"/>
      <c r="O19" s="71"/>
      <c r="P19" s="69"/>
      <c r="Q19" s="70"/>
      <c r="R19" s="71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8"/>
      <c r="AF19" s="58"/>
      <c r="AG19" s="57"/>
      <c r="AH19" s="58"/>
      <c r="AI19" s="59"/>
      <c r="AJ19" s="60"/>
      <c r="AK19" s="59"/>
      <c r="AL19" s="60"/>
      <c r="AM19" s="61">
        <f t="shared" si="5"/>
        <v>0</v>
      </c>
      <c r="AN19" s="62"/>
      <c r="AO19" s="62"/>
      <c r="AP19" s="63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</row>
    <row r="20" spans="1:106" ht="17">
      <c r="A20" s="65"/>
      <c r="B20" s="65"/>
      <c r="C20" s="66"/>
      <c r="D20" s="66"/>
      <c r="E20" s="66"/>
      <c r="F20" s="66"/>
      <c r="G20" s="66"/>
      <c r="H20" s="69"/>
      <c r="I20" s="70"/>
      <c r="J20" s="70"/>
      <c r="K20" s="70"/>
      <c r="L20" s="70"/>
      <c r="M20" s="70"/>
      <c r="N20" s="70"/>
      <c r="O20" s="71"/>
      <c r="P20" s="69"/>
      <c r="Q20" s="70"/>
      <c r="R20" s="71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8"/>
      <c r="AF20" s="58"/>
      <c r="AG20" s="57"/>
      <c r="AH20" s="58"/>
      <c r="AI20" s="59"/>
      <c r="AJ20" s="60"/>
      <c r="AK20" s="59"/>
      <c r="AL20" s="60"/>
      <c r="AM20" s="61">
        <f t="shared" si="5"/>
        <v>0</v>
      </c>
      <c r="AN20" s="62"/>
      <c r="AO20" s="62"/>
      <c r="AP20" s="63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</row>
    <row r="21" spans="1:106" ht="17">
      <c r="A21" s="65"/>
      <c r="B21" s="65"/>
      <c r="C21" s="66"/>
      <c r="D21" s="66"/>
      <c r="E21" s="66"/>
      <c r="F21" s="66"/>
      <c r="G21" s="66"/>
      <c r="H21" s="69"/>
      <c r="I21" s="70"/>
      <c r="J21" s="70"/>
      <c r="K21" s="70"/>
      <c r="L21" s="70"/>
      <c r="M21" s="70"/>
      <c r="N21" s="70"/>
      <c r="O21" s="71"/>
      <c r="P21" s="69"/>
      <c r="Q21" s="70"/>
      <c r="R21" s="71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8"/>
      <c r="AF21" s="58"/>
      <c r="AG21" s="57"/>
      <c r="AH21" s="58"/>
      <c r="AI21" s="59"/>
      <c r="AJ21" s="60"/>
      <c r="AK21" s="59"/>
      <c r="AL21" s="60"/>
      <c r="AM21" s="61">
        <f t="shared" si="5"/>
        <v>0</v>
      </c>
      <c r="AN21" s="62"/>
      <c r="AO21" s="62"/>
      <c r="AP21" s="63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</row>
    <row r="22" spans="1:106" ht="17">
      <c r="A22" s="65"/>
      <c r="B22" s="65"/>
      <c r="C22" s="66"/>
      <c r="D22" s="66"/>
      <c r="E22" s="66"/>
      <c r="F22" s="66"/>
      <c r="G22" s="66"/>
      <c r="H22" s="69"/>
      <c r="I22" s="70"/>
      <c r="J22" s="70"/>
      <c r="K22" s="70"/>
      <c r="L22" s="70"/>
      <c r="M22" s="70"/>
      <c r="N22" s="70"/>
      <c r="O22" s="71"/>
      <c r="P22" s="69"/>
      <c r="Q22" s="70"/>
      <c r="R22" s="71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8"/>
      <c r="AF22" s="58"/>
      <c r="AG22" s="57"/>
      <c r="AH22" s="58"/>
      <c r="AI22" s="59"/>
      <c r="AJ22" s="60"/>
      <c r="AK22" s="59"/>
      <c r="AL22" s="60"/>
      <c r="AM22" s="61">
        <f t="shared" si="5"/>
        <v>0</v>
      </c>
      <c r="AN22" s="62"/>
      <c r="AO22" s="62"/>
      <c r="AP22" s="63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</row>
    <row r="23" spans="1:106" ht="17">
      <c r="A23" s="65"/>
      <c r="B23" s="65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8"/>
      <c r="AF23" s="58"/>
      <c r="AG23" s="57"/>
      <c r="AH23" s="58"/>
      <c r="AI23" s="59"/>
      <c r="AJ23" s="60"/>
      <c r="AK23" s="59"/>
      <c r="AL23" s="60"/>
      <c r="AM23" s="61">
        <f t="shared" si="5"/>
        <v>0</v>
      </c>
      <c r="AN23" s="62"/>
      <c r="AO23" s="62"/>
      <c r="AP23" s="63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</row>
    <row r="24" spans="1:106" ht="17">
      <c r="A24" s="65"/>
      <c r="B24" s="65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8"/>
      <c r="AF24" s="58"/>
      <c r="AG24" s="57"/>
      <c r="AH24" s="58"/>
      <c r="AI24" s="59"/>
      <c r="AJ24" s="60"/>
      <c r="AK24" s="59"/>
      <c r="AL24" s="60"/>
      <c r="AM24" s="61">
        <f t="shared" si="5"/>
        <v>0</v>
      </c>
      <c r="AN24" s="62"/>
      <c r="AO24" s="62"/>
      <c r="AP24" s="63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</row>
    <row r="25" spans="1:106" ht="17">
      <c r="A25" s="65"/>
      <c r="B25" s="65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8"/>
      <c r="AF25" s="58"/>
      <c r="AG25" s="57"/>
      <c r="AH25" s="58"/>
      <c r="AI25" s="59"/>
      <c r="AJ25" s="60"/>
      <c r="AK25" s="59"/>
      <c r="AL25" s="60"/>
      <c r="AM25" s="61">
        <f t="shared" si="5"/>
        <v>0</v>
      </c>
      <c r="AN25" s="62"/>
      <c r="AO25" s="62"/>
      <c r="AP25" s="63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</row>
    <row r="26" spans="1:106" ht="17">
      <c r="A26" s="65"/>
      <c r="B26" s="65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8"/>
      <c r="AF26" s="58"/>
      <c r="AG26" s="57"/>
      <c r="AH26" s="58"/>
      <c r="AI26" s="59"/>
      <c r="AJ26" s="60"/>
      <c r="AK26" s="59"/>
      <c r="AL26" s="60"/>
      <c r="AM26" s="61">
        <f t="shared" si="5"/>
        <v>0</v>
      </c>
      <c r="AN26" s="62"/>
      <c r="AO26" s="62"/>
      <c r="AP26" s="63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</row>
    <row r="27" spans="1:106" ht="17">
      <c r="A27" s="65"/>
      <c r="B27" s="65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8"/>
      <c r="AF27" s="58"/>
      <c r="AG27" s="57"/>
      <c r="AH27" s="58"/>
      <c r="AI27" s="59"/>
      <c r="AJ27" s="60"/>
      <c r="AK27" s="59"/>
      <c r="AL27" s="60"/>
      <c r="AM27" s="61">
        <f t="shared" si="5"/>
        <v>0</v>
      </c>
      <c r="AN27" s="62"/>
      <c r="AO27" s="62"/>
      <c r="AP27" s="63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</row>
    <row r="28" spans="1:106" ht="17">
      <c r="A28" s="65"/>
      <c r="B28" s="65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8"/>
      <c r="AF28" s="58"/>
      <c r="AG28" s="57"/>
      <c r="AH28" s="58"/>
      <c r="AI28" s="59"/>
      <c r="AJ28" s="60"/>
      <c r="AK28" s="59"/>
      <c r="AL28" s="60"/>
      <c r="AM28" s="61">
        <f t="shared" si="5"/>
        <v>0</v>
      </c>
      <c r="AN28" s="62"/>
      <c r="AO28" s="62"/>
      <c r="AP28" s="63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</row>
    <row r="29" spans="1:106" ht="17">
      <c r="A29" s="65"/>
      <c r="B29" s="65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8"/>
      <c r="AF29" s="58"/>
      <c r="AG29" s="57"/>
      <c r="AH29" s="58"/>
      <c r="AI29" s="59"/>
      <c r="AJ29" s="60"/>
      <c r="AK29" s="59"/>
      <c r="AL29" s="60"/>
      <c r="AM29" s="61">
        <f t="shared" si="5"/>
        <v>0</v>
      </c>
      <c r="AN29" s="62"/>
      <c r="AO29" s="62"/>
      <c r="AP29" s="63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</row>
    <row r="30" spans="1:106" ht="17">
      <c r="A30" s="65"/>
      <c r="B30" s="65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8"/>
      <c r="AF30" s="58"/>
      <c r="AG30" s="57"/>
      <c r="AH30" s="58"/>
      <c r="AI30" s="59"/>
      <c r="AJ30" s="60"/>
      <c r="AK30" s="59"/>
      <c r="AL30" s="60"/>
      <c r="AM30" s="61">
        <f t="shared" si="5"/>
        <v>0</v>
      </c>
      <c r="AN30" s="62"/>
      <c r="AO30" s="62"/>
      <c r="AP30" s="63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</row>
    <row r="31" spans="1:106" ht="17">
      <c r="A31" s="65"/>
      <c r="B31" s="65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8"/>
      <c r="AF31" s="58"/>
      <c r="AG31" s="57"/>
      <c r="AH31" s="58"/>
      <c r="AI31" s="59"/>
      <c r="AJ31" s="60"/>
      <c r="AK31" s="59"/>
      <c r="AL31" s="60"/>
      <c r="AM31" s="61">
        <f t="shared" si="5"/>
        <v>0</v>
      </c>
      <c r="AN31" s="62"/>
      <c r="AO31" s="62"/>
      <c r="AP31" s="63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</row>
    <row r="32" spans="1:106" ht="17">
      <c r="A32" s="65"/>
      <c r="B32" s="65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8"/>
      <c r="AF32" s="58"/>
      <c r="AG32" s="57"/>
      <c r="AH32" s="58"/>
      <c r="AI32" s="59"/>
      <c r="AJ32" s="60"/>
      <c r="AK32" s="59"/>
      <c r="AL32" s="60"/>
      <c r="AM32" s="61">
        <f t="shared" si="5"/>
        <v>0</v>
      </c>
      <c r="AN32" s="62"/>
      <c r="AO32" s="62"/>
      <c r="AP32" s="63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</row>
    <row r="33" spans="1:106" ht="17">
      <c r="A33" s="65"/>
      <c r="B33" s="65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8"/>
      <c r="AF33" s="58"/>
      <c r="AG33" s="57"/>
      <c r="AH33" s="58"/>
      <c r="AI33" s="59"/>
      <c r="AJ33" s="60"/>
      <c r="AK33" s="59"/>
      <c r="AL33" s="60"/>
      <c r="AM33" s="61">
        <f t="shared" si="5"/>
        <v>0</v>
      </c>
      <c r="AN33" s="62"/>
      <c r="AO33" s="62"/>
      <c r="AP33" s="63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</row>
    <row r="34" spans="1:106" ht="17">
      <c r="A34" s="65"/>
      <c r="B34" s="65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8"/>
      <c r="AF34" s="58"/>
      <c r="AG34" s="57"/>
      <c r="AH34" s="58"/>
      <c r="AI34" s="59"/>
      <c r="AJ34" s="60"/>
      <c r="AK34" s="59"/>
      <c r="AL34" s="60"/>
      <c r="AM34" s="61">
        <f t="shared" si="5"/>
        <v>0</v>
      </c>
      <c r="AN34" s="62"/>
      <c r="AO34" s="62"/>
      <c r="AP34" s="63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</row>
    <row r="35" spans="1:106" ht="17">
      <c r="A35" s="65"/>
      <c r="B35" s="65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8"/>
      <c r="AF35" s="58"/>
      <c r="AG35" s="57"/>
      <c r="AH35" s="58"/>
      <c r="AI35" s="59"/>
      <c r="AJ35" s="60"/>
      <c r="AK35" s="59"/>
      <c r="AL35" s="60"/>
      <c r="AM35" s="61">
        <f t="shared" si="5"/>
        <v>0</v>
      </c>
      <c r="AN35" s="62"/>
      <c r="AO35" s="62"/>
      <c r="AP35" s="63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</row>
    <row r="36" spans="1:106" ht="17">
      <c r="AM36" s="64">
        <f>SUM(AM8:AP35)</f>
        <v>0</v>
      </c>
      <c r="AN36" s="64"/>
      <c r="AO36" s="64"/>
      <c r="AP36" s="64"/>
      <c r="AQ36" s="1" t="s">
        <v>27</v>
      </c>
    </row>
    <row r="37" spans="1:106" ht="17"/>
    <row r="38" spans="1:106" ht="17"/>
    <row r="39" spans="1:106" ht="17"/>
    <row r="40" spans="1:106" ht="17"/>
    <row r="41" spans="1:106" ht="17"/>
    <row r="42" spans="1:106" ht="17"/>
  </sheetData>
  <mergeCells count="403">
    <mergeCell ref="A4:B6"/>
    <mergeCell ref="C4:G6"/>
    <mergeCell ref="H4:O6"/>
    <mergeCell ref="P4:R6"/>
    <mergeCell ref="S4:X4"/>
    <mergeCell ref="Y4:AD4"/>
    <mergeCell ref="AQ1:AT1"/>
    <mergeCell ref="AU1:BA1"/>
    <mergeCell ref="S2:V2"/>
    <mergeCell ref="W2:AC2"/>
    <mergeCell ref="AD2:AG2"/>
    <mergeCell ref="AH2:AP2"/>
    <mergeCell ref="AQ2:AT2"/>
    <mergeCell ref="AU2:BA2"/>
    <mergeCell ref="A1:G2"/>
    <mergeCell ref="H1:R2"/>
    <mergeCell ref="S1:V1"/>
    <mergeCell ref="W1:AC1"/>
    <mergeCell ref="AD1:AG1"/>
    <mergeCell ref="AH1:AP1"/>
    <mergeCell ref="AE4:AH4"/>
    <mergeCell ref="AI4:AJ6"/>
    <mergeCell ref="AK4:AL6"/>
    <mergeCell ref="AM4:AP6"/>
    <mergeCell ref="S5:U6"/>
    <mergeCell ref="V5:X6"/>
    <mergeCell ref="Y5:AA6"/>
    <mergeCell ref="AB5:AD6"/>
    <mergeCell ref="AE5:AF6"/>
    <mergeCell ref="AG5:AH6"/>
    <mergeCell ref="AM7:AP7"/>
    <mergeCell ref="A8:B8"/>
    <mergeCell ref="C8:G8"/>
    <mergeCell ref="H8:O8"/>
    <mergeCell ref="P8:R8"/>
    <mergeCell ref="S8:U8"/>
    <mergeCell ref="V8:X8"/>
    <mergeCell ref="Y8:AA8"/>
    <mergeCell ref="AB8:AD8"/>
    <mergeCell ref="AE8:AF8"/>
    <mergeCell ref="Y7:AA7"/>
    <mergeCell ref="AB7:AD7"/>
    <mergeCell ref="AE7:AF7"/>
    <mergeCell ref="AG7:AH7"/>
    <mergeCell ref="AI7:AJ7"/>
    <mergeCell ref="AK7:AL7"/>
    <mergeCell ref="A7:B7"/>
    <mergeCell ref="C7:G7"/>
    <mergeCell ref="H7:O7"/>
    <mergeCell ref="P7:R7"/>
    <mergeCell ref="S7:U7"/>
    <mergeCell ref="V7:X7"/>
    <mergeCell ref="AG8:AH8"/>
    <mergeCell ref="AI8:AJ8"/>
    <mergeCell ref="AK8:AL8"/>
    <mergeCell ref="AM8:AP8"/>
    <mergeCell ref="A9:B9"/>
    <mergeCell ref="C9:G9"/>
    <mergeCell ref="H9:O9"/>
    <mergeCell ref="P9:R9"/>
    <mergeCell ref="S9:U9"/>
    <mergeCell ref="V9:X9"/>
    <mergeCell ref="A11:B11"/>
    <mergeCell ref="C11:G11"/>
    <mergeCell ref="P11:R11"/>
    <mergeCell ref="S11:U11"/>
    <mergeCell ref="V11:X11"/>
    <mergeCell ref="Y11:AA11"/>
    <mergeCell ref="AM9:AP9"/>
    <mergeCell ref="A10:B10"/>
    <mergeCell ref="C10:G10"/>
    <mergeCell ref="H10:O10"/>
    <mergeCell ref="P10:R10"/>
    <mergeCell ref="S10:U10"/>
    <mergeCell ref="V10:X10"/>
    <mergeCell ref="Y10:AA10"/>
    <mergeCell ref="AB10:AD10"/>
    <mergeCell ref="AE10:AF10"/>
    <mergeCell ref="Y9:AA9"/>
    <mergeCell ref="AB9:AD9"/>
    <mergeCell ref="AE9:AF9"/>
    <mergeCell ref="AG9:AH9"/>
    <mergeCell ref="AI9:AJ9"/>
    <mergeCell ref="AK9:AL9"/>
    <mergeCell ref="AB11:AD11"/>
    <mergeCell ref="AE11:AF11"/>
    <mergeCell ref="AG11:AH11"/>
    <mergeCell ref="AI11:AJ11"/>
    <mergeCell ref="AK11:AL11"/>
    <mergeCell ref="AM11:AP11"/>
    <mergeCell ref="AG10:AH10"/>
    <mergeCell ref="AI10:AJ10"/>
    <mergeCell ref="AK10:AL10"/>
    <mergeCell ref="AM10:AP10"/>
    <mergeCell ref="AB12:AD12"/>
    <mergeCell ref="AE12:AF12"/>
    <mergeCell ref="AG12:AH12"/>
    <mergeCell ref="AI12:AJ12"/>
    <mergeCell ref="AK12:AL12"/>
    <mergeCell ref="AM12:AP12"/>
    <mergeCell ref="A12:B12"/>
    <mergeCell ref="C12:G12"/>
    <mergeCell ref="P12:R12"/>
    <mergeCell ref="S12:U12"/>
    <mergeCell ref="V12:X12"/>
    <mergeCell ref="Y12:AA12"/>
    <mergeCell ref="AM13:AP13"/>
    <mergeCell ref="A14:B14"/>
    <mergeCell ref="C14:G14"/>
    <mergeCell ref="H14:O14"/>
    <mergeCell ref="P14:R14"/>
    <mergeCell ref="S14:U14"/>
    <mergeCell ref="V14:X14"/>
    <mergeCell ref="Y14:AA14"/>
    <mergeCell ref="AB14:AD14"/>
    <mergeCell ref="AE14:AF14"/>
    <mergeCell ref="Y13:AA13"/>
    <mergeCell ref="AB13:AD13"/>
    <mergeCell ref="AE13:AF13"/>
    <mergeCell ref="AG13:AH13"/>
    <mergeCell ref="AI13:AJ13"/>
    <mergeCell ref="AK13:AL13"/>
    <mergeCell ref="A13:B13"/>
    <mergeCell ref="C13:G13"/>
    <mergeCell ref="H13:O13"/>
    <mergeCell ref="P13:R13"/>
    <mergeCell ref="S13:U13"/>
    <mergeCell ref="V13:X13"/>
    <mergeCell ref="AG14:AH14"/>
    <mergeCell ref="AI14:AJ14"/>
    <mergeCell ref="AK14:AL14"/>
    <mergeCell ref="AM14:AP14"/>
    <mergeCell ref="A15:B15"/>
    <mergeCell ref="P15:R15"/>
    <mergeCell ref="S15:U15"/>
    <mergeCell ref="V15:X15"/>
    <mergeCell ref="Y15:AA15"/>
    <mergeCell ref="AB15:AD15"/>
    <mergeCell ref="AE15:AF15"/>
    <mergeCell ref="AG15:AH15"/>
    <mergeCell ref="AI15:AJ15"/>
    <mergeCell ref="AK15:AL15"/>
    <mergeCell ref="AM15:AP15"/>
    <mergeCell ref="A16:B16"/>
    <mergeCell ref="C16:G16"/>
    <mergeCell ref="P16:R16"/>
    <mergeCell ref="S16:U16"/>
    <mergeCell ref="V16:X16"/>
    <mergeCell ref="AM16:AP16"/>
    <mergeCell ref="A17:B17"/>
    <mergeCell ref="C17:G17"/>
    <mergeCell ref="H17:O17"/>
    <mergeCell ref="P17:R17"/>
    <mergeCell ref="S17:U17"/>
    <mergeCell ref="V17:X17"/>
    <mergeCell ref="Y17:AA17"/>
    <mergeCell ref="AB17:AD17"/>
    <mergeCell ref="AE17:AF17"/>
    <mergeCell ref="Y16:AA16"/>
    <mergeCell ref="AB16:AD16"/>
    <mergeCell ref="AE16:AF16"/>
    <mergeCell ref="AG16:AH16"/>
    <mergeCell ref="AI16:AJ16"/>
    <mergeCell ref="AK16:AL16"/>
    <mergeCell ref="AG17:AH17"/>
    <mergeCell ref="AI17:AJ17"/>
    <mergeCell ref="AK17:AL17"/>
    <mergeCell ref="AM17:AP17"/>
    <mergeCell ref="A18:B18"/>
    <mergeCell ref="C18:G18"/>
    <mergeCell ref="H18:O18"/>
    <mergeCell ref="P18:R18"/>
    <mergeCell ref="S18:U18"/>
    <mergeCell ref="V18:X18"/>
    <mergeCell ref="AM18:AP18"/>
    <mergeCell ref="A19:B19"/>
    <mergeCell ref="C19:G19"/>
    <mergeCell ref="H19:O19"/>
    <mergeCell ref="P19:R19"/>
    <mergeCell ref="S19:U19"/>
    <mergeCell ref="V19:X19"/>
    <mergeCell ref="Y19:AA19"/>
    <mergeCell ref="AB19:AD19"/>
    <mergeCell ref="AE19:AF19"/>
    <mergeCell ref="Y18:AA18"/>
    <mergeCell ref="AB18:AD18"/>
    <mergeCell ref="AE18:AF18"/>
    <mergeCell ref="AG18:AH18"/>
    <mergeCell ref="AI18:AJ18"/>
    <mergeCell ref="AK18:AL18"/>
    <mergeCell ref="AG19:AH19"/>
    <mergeCell ref="V21:X21"/>
    <mergeCell ref="Y21:AA21"/>
    <mergeCell ref="AB21:AD21"/>
    <mergeCell ref="AE21:AF21"/>
    <mergeCell ref="AI19:AJ19"/>
    <mergeCell ref="AK19:AL19"/>
    <mergeCell ref="AM19:AP19"/>
    <mergeCell ref="A20:B20"/>
    <mergeCell ref="C20:G20"/>
    <mergeCell ref="H20:O20"/>
    <mergeCell ref="P20:R20"/>
    <mergeCell ref="S20:U20"/>
    <mergeCell ref="V20:X20"/>
    <mergeCell ref="AM20:AP20"/>
    <mergeCell ref="Y20:AA20"/>
    <mergeCell ref="AB20:AD20"/>
    <mergeCell ref="AE20:AF20"/>
    <mergeCell ref="AG20:AH20"/>
    <mergeCell ref="AI20:AJ20"/>
    <mergeCell ref="AK20:AL20"/>
    <mergeCell ref="AB23:AD23"/>
    <mergeCell ref="AE23:AF23"/>
    <mergeCell ref="AG21:AH21"/>
    <mergeCell ref="AI21:AJ21"/>
    <mergeCell ref="AK21:AL21"/>
    <mergeCell ref="AM21:AP21"/>
    <mergeCell ref="A22:B22"/>
    <mergeCell ref="C22:G22"/>
    <mergeCell ref="H22:O22"/>
    <mergeCell ref="P22:R22"/>
    <mergeCell ref="S22:U22"/>
    <mergeCell ref="V22:X22"/>
    <mergeCell ref="AM22:AP22"/>
    <mergeCell ref="Y22:AA22"/>
    <mergeCell ref="AB22:AD22"/>
    <mergeCell ref="AE22:AF22"/>
    <mergeCell ref="AG22:AH22"/>
    <mergeCell ref="AI22:AJ22"/>
    <mergeCell ref="AK22:AL22"/>
    <mergeCell ref="A21:B21"/>
    <mergeCell ref="C21:G21"/>
    <mergeCell ref="H21:O21"/>
    <mergeCell ref="P21:R21"/>
    <mergeCell ref="S21:U21"/>
    <mergeCell ref="AG23:AH23"/>
    <mergeCell ref="AI23:AJ23"/>
    <mergeCell ref="AK23:AL23"/>
    <mergeCell ref="AM23:AP23"/>
    <mergeCell ref="A24:B24"/>
    <mergeCell ref="C24:G24"/>
    <mergeCell ref="H24:O24"/>
    <mergeCell ref="P24:R24"/>
    <mergeCell ref="S24:U24"/>
    <mergeCell ref="V24:X24"/>
    <mergeCell ref="AM24:AP24"/>
    <mergeCell ref="Y24:AA24"/>
    <mergeCell ref="AB24:AD24"/>
    <mergeCell ref="AE24:AF24"/>
    <mergeCell ref="AG24:AH24"/>
    <mergeCell ref="AI24:AJ24"/>
    <mergeCell ref="AK24:AL24"/>
    <mergeCell ref="A23:B23"/>
    <mergeCell ref="C23:G23"/>
    <mergeCell ref="H23:O23"/>
    <mergeCell ref="P23:R23"/>
    <mergeCell ref="S23:U23"/>
    <mergeCell ref="V23:X23"/>
    <mergeCell ref="Y23:AA23"/>
    <mergeCell ref="AM25:AP25"/>
    <mergeCell ref="A26:B26"/>
    <mergeCell ref="C26:G26"/>
    <mergeCell ref="H26:O26"/>
    <mergeCell ref="P26:R26"/>
    <mergeCell ref="S26:U26"/>
    <mergeCell ref="V26:X26"/>
    <mergeCell ref="AM26:AP26"/>
    <mergeCell ref="Y26:AA26"/>
    <mergeCell ref="AB26:AD26"/>
    <mergeCell ref="AE26:AF26"/>
    <mergeCell ref="AG26:AH26"/>
    <mergeCell ref="AI26:AJ26"/>
    <mergeCell ref="AK26:AL26"/>
    <mergeCell ref="A25:B25"/>
    <mergeCell ref="C25:G25"/>
    <mergeCell ref="H25:O25"/>
    <mergeCell ref="P25:R25"/>
    <mergeCell ref="S25:U25"/>
    <mergeCell ref="V25:X25"/>
    <mergeCell ref="Y25:AA25"/>
    <mergeCell ref="AB25:AD25"/>
    <mergeCell ref="AE25:AF25"/>
    <mergeCell ref="P27:R27"/>
    <mergeCell ref="S27:U27"/>
    <mergeCell ref="V27:X27"/>
    <mergeCell ref="Y27:AA27"/>
    <mergeCell ref="AB27:AD27"/>
    <mergeCell ref="AE27:AF27"/>
    <mergeCell ref="AG25:AH25"/>
    <mergeCell ref="AI25:AJ25"/>
    <mergeCell ref="AK25:AL25"/>
    <mergeCell ref="V29:X29"/>
    <mergeCell ref="Y29:AA29"/>
    <mergeCell ref="AB29:AD29"/>
    <mergeCell ref="AE29:AF29"/>
    <mergeCell ref="AG27:AH27"/>
    <mergeCell ref="AI27:AJ27"/>
    <mergeCell ref="AK27:AL27"/>
    <mergeCell ref="AM27:AP27"/>
    <mergeCell ref="A28:B28"/>
    <mergeCell ref="C28:G28"/>
    <mergeCell ref="H28:O28"/>
    <mergeCell ref="P28:R28"/>
    <mergeCell ref="S28:U28"/>
    <mergeCell ref="V28:X28"/>
    <mergeCell ref="AM28:AP28"/>
    <mergeCell ref="Y28:AA28"/>
    <mergeCell ref="AB28:AD28"/>
    <mergeCell ref="AE28:AF28"/>
    <mergeCell ref="AG28:AH28"/>
    <mergeCell ref="AI28:AJ28"/>
    <mergeCell ref="AK28:AL28"/>
    <mergeCell ref="A27:B27"/>
    <mergeCell ref="C27:G27"/>
    <mergeCell ref="H27:O27"/>
    <mergeCell ref="AB31:AD31"/>
    <mergeCell ref="AE31:AF31"/>
    <mergeCell ref="AG29:AH29"/>
    <mergeCell ref="AI29:AJ29"/>
    <mergeCell ref="AK29:AL29"/>
    <mergeCell ref="AM29:AP29"/>
    <mergeCell ref="A30:B30"/>
    <mergeCell ref="C30:G30"/>
    <mergeCell ref="H30:O30"/>
    <mergeCell ref="P30:R30"/>
    <mergeCell ref="S30:U30"/>
    <mergeCell ref="V30:X30"/>
    <mergeCell ref="AM30:AP30"/>
    <mergeCell ref="Y30:AA30"/>
    <mergeCell ref="AB30:AD30"/>
    <mergeCell ref="AE30:AF30"/>
    <mergeCell ref="AG30:AH30"/>
    <mergeCell ref="AI30:AJ30"/>
    <mergeCell ref="AK30:AL30"/>
    <mergeCell ref="A29:B29"/>
    <mergeCell ref="C29:G29"/>
    <mergeCell ref="H29:O29"/>
    <mergeCell ref="P29:R29"/>
    <mergeCell ref="S29:U29"/>
    <mergeCell ref="AG31:AH31"/>
    <mergeCell ref="AI31:AJ31"/>
    <mergeCell ref="AK31:AL31"/>
    <mergeCell ref="AM31:AP31"/>
    <mergeCell ref="A32:B32"/>
    <mergeCell ref="C32:G32"/>
    <mergeCell ref="H32:O32"/>
    <mergeCell ref="P32:R32"/>
    <mergeCell ref="S32:U32"/>
    <mergeCell ref="V32:X32"/>
    <mergeCell ref="AM32:AP32"/>
    <mergeCell ref="Y32:AA32"/>
    <mergeCell ref="AB32:AD32"/>
    <mergeCell ref="AE32:AF32"/>
    <mergeCell ref="AG32:AH32"/>
    <mergeCell ref="AI32:AJ32"/>
    <mergeCell ref="AK32:AL32"/>
    <mergeCell ref="A31:B31"/>
    <mergeCell ref="C31:G31"/>
    <mergeCell ref="H31:O31"/>
    <mergeCell ref="P31:R31"/>
    <mergeCell ref="S31:U31"/>
    <mergeCell ref="V31:X31"/>
    <mergeCell ref="Y31:AA31"/>
    <mergeCell ref="AG33:AH33"/>
    <mergeCell ref="AI33:AJ33"/>
    <mergeCell ref="AK33:AL33"/>
    <mergeCell ref="AM33:AP33"/>
    <mergeCell ref="A34:B34"/>
    <mergeCell ref="C34:G34"/>
    <mergeCell ref="H34:O34"/>
    <mergeCell ref="P34:R34"/>
    <mergeCell ref="S34:U34"/>
    <mergeCell ref="V34:X34"/>
    <mergeCell ref="A33:B33"/>
    <mergeCell ref="C33:G33"/>
    <mergeCell ref="H33:O33"/>
    <mergeCell ref="P33:R33"/>
    <mergeCell ref="S33:U33"/>
    <mergeCell ref="V33:X33"/>
    <mergeCell ref="Y33:AA33"/>
    <mergeCell ref="AB33:AD33"/>
    <mergeCell ref="AE33:AF33"/>
    <mergeCell ref="AG35:AH35"/>
    <mergeCell ref="AI35:AJ35"/>
    <mergeCell ref="AK35:AL35"/>
    <mergeCell ref="AM35:AP35"/>
    <mergeCell ref="AM36:AP36"/>
    <mergeCell ref="AM34:AP34"/>
    <mergeCell ref="A35:B35"/>
    <mergeCell ref="C35:G35"/>
    <mergeCell ref="H35:O35"/>
    <mergeCell ref="P35:R35"/>
    <mergeCell ref="S35:U35"/>
    <mergeCell ref="V35:X35"/>
    <mergeCell ref="Y35:AA35"/>
    <mergeCell ref="AB35:AD35"/>
    <mergeCell ref="AE35:AF35"/>
    <mergeCell ref="Y34:AA34"/>
    <mergeCell ref="AB34:AD34"/>
    <mergeCell ref="AE34:AF34"/>
    <mergeCell ref="AG34:AH34"/>
    <mergeCell ref="AI34:AJ34"/>
    <mergeCell ref="AK34:AL34"/>
  </mergeCells>
  <phoneticPr fontId="1"/>
  <conditionalFormatting sqref="AQ5:AQ6">
    <cfRule type="expression" dxfId="15" priority="1">
      <formula>TEXT(AQ5,"aaa")="日"</formula>
    </cfRule>
  </conditionalFormatting>
  <conditionalFormatting sqref="AQ4:DB4">
    <cfRule type="notContainsBlanks" dxfId="14" priority="4">
      <formula>LEN(TRIM(AQ4))&gt;0</formula>
    </cfRule>
  </conditionalFormatting>
  <conditionalFormatting sqref="AQ5:DB6">
    <cfRule type="expression" dxfId="13" priority="2">
      <formula>TEXT(AQ5,"aaa")="土"</formula>
    </cfRule>
  </conditionalFormatting>
  <conditionalFormatting sqref="AR5:DB6">
    <cfRule type="expression" dxfId="12" priority="3">
      <formula>TEXT(AR5,"aaa")="日"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50EAE-81CE-4ACF-B35D-71C14F3DF569}">
  <dimension ref="A1:Y24"/>
  <sheetViews>
    <sheetView zoomScale="145" zoomScaleNormal="145" workbookViewId="0">
      <selection activeCell="M20" sqref="M20"/>
    </sheetView>
  </sheetViews>
  <sheetFormatPr baseColWidth="10" defaultColWidth="8.83203125" defaultRowHeight="15"/>
  <cols>
    <col min="3" max="3" width="0" hidden="1" customWidth="1"/>
    <col min="4" max="4" width="3.6640625" customWidth="1"/>
    <col min="5" max="5" width="12.83203125" customWidth="1"/>
    <col min="6" max="7" width="4" customWidth="1"/>
    <col min="8" max="8" width="8.5" customWidth="1"/>
    <col min="10" max="10" width="3.33203125" customWidth="1"/>
    <col min="11" max="11" width="10" bestFit="1" customWidth="1"/>
    <col min="12" max="12" width="11.5" bestFit="1" customWidth="1"/>
    <col min="13" max="13" width="11.5" customWidth="1"/>
    <col min="15" max="15" width="9.6640625" bestFit="1" customWidth="1"/>
  </cols>
  <sheetData>
    <row r="1" spans="1:20">
      <c r="A1" t="s">
        <v>46</v>
      </c>
    </row>
    <row r="2" spans="1:20">
      <c r="A2" t="s">
        <v>54</v>
      </c>
    </row>
    <row r="3" spans="1:20">
      <c r="A3" s="16" t="s">
        <v>40</v>
      </c>
      <c r="B3" s="16"/>
      <c r="E3" s="16" t="s">
        <v>28</v>
      </c>
      <c r="I3" s="16" t="s">
        <v>48</v>
      </c>
      <c r="K3" s="17" t="s">
        <v>36</v>
      </c>
      <c r="N3" s="17" t="s">
        <v>1</v>
      </c>
      <c r="O3" s="17" t="s">
        <v>35</v>
      </c>
      <c r="P3" s="24" t="s">
        <v>63</v>
      </c>
    </row>
    <row r="4" spans="1:20" ht="18.5" customHeight="1">
      <c r="A4" t="s">
        <v>19</v>
      </c>
      <c r="B4" t="s">
        <v>41</v>
      </c>
      <c r="C4" s="14" t="s">
        <v>23</v>
      </c>
      <c r="D4" s="14"/>
      <c r="E4">
        <v>6</v>
      </c>
      <c r="F4" t="s">
        <v>47</v>
      </c>
      <c r="H4" s="25" t="s">
        <v>38</v>
      </c>
      <c r="I4" t="s">
        <v>37</v>
      </c>
      <c r="J4" s="25">
        <f>E4*8</f>
        <v>48</v>
      </c>
      <c r="K4" t="s">
        <v>38</v>
      </c>
      <c r="L4" s="34">
        <f>J4/T4</f>
        <v>4.3636363636363633</v>
      </c>
      <c r="M4" s="34">
        <v>5</v>
      </c>
      <c r="N4" s="15">
        <v>45870</v>
      </c>
      <c r="O4" s="15">
        <v>45905</v>
      </c>
      <c r="P4" t="s">
        <v>55</v>
      </c>
      <c r="T4" s="35">
        <v>11</v>
      </c>
    </row>
    <row r="5" spans="1:20">
      <c r="B5" t="s">
        <v>42</v>
      </c>
      <c r="C5" t="s">
        <v>26</v>
      </c>
      <c r="E5">
        <v>3</v>
      </c>
      <c r="F5" t="s">
        <v>47</v>
      </c>
      <c r="H5" s="25" t="s">
        <v>38</v>
      </c>
      <c r="J5" s="25">
        <f t="shared" ref="J5:J17" si="0">E5*8</f>
        <v>24</v>
      </c>
      <c r="K5" t="s">
        <v>39</v>
      </c>
      <c r="L5" s="34">
        <f>J5/T5</f>
        <v>2.1818181818181817</v>
      </c>
      <c r="M5" s="34">
        <v>2</v>
      </c>
      <c r="T5" s="35">
        <v>11</v>
      </c>
    </row>
    <row r="6" spans="1:20" ht="18" customHeight="1">
      <c r="B6" t="s">
        <v>43</v>
      </c>
      <c r="C6" s="14" t="s">
        <v>24</v>
      </c>
      <c r="D6" s="14"/>
      <c r="E6">
        <v>5</v>
      </c>
      <c r="F6" t="s">
        <v>47</v>
      </c>
      <c r="H6" s="25" t="s">
        <v>38</v>
      </c>
      <c r="J6" s="25">
        <f t="shared" si="0"/>
        <v>40</v>
      </c>
      <c r="L6" s="34">
        <f>J6/T6</f>
        <v>3.6363636363636362</v>
      </c>
      <c r="M6" s="34">
        <v>3</v>
      </c>
      <c r="T6" s="35">
        <v>11</v>
      </c>
    </row>
    <row r="7" spans="1:20">
      <c r="B7" t="s">
        <v>44</v>
      </c>
      <c r="E7">
        <v>2</v>
      </c>
      <c r="F7" t="s">
        <v>47</v>
      </c>
      <c r="H7" s="25" t="s">
        <v>38</v>
      </c>
      <c r="J7" s="25">
        <f t="shared" si="0"/>
        <v>16</v>
      </c>
      <c r="L7" s="34">
        <f>J7/T7</f>
        <v>1.4545454545454546</v>
      </c>
      <c r="M7" s="34">
        <v>2</v>
      </c>
      <c r="T7" s="35">
        <v>11</v>
      </c>
    </row>
    <row r="8" spans="1:20">
      <c r="B8" t="s">
        <v>45</v>
      </c>
      <c r="E8">
        <v>3</v>
      </c>
      <c r="F8" t="s">
        <v>47</v>
      </c>
      <c r="G8">
        <f>SUM(E4:E8)</f>
        <v>19</v>
      </c>
      <c r="H8" s="25" t="s">
        <v>38</v>
      </c>
      <c r="J8" s="25">
        <f t="shared" si="0"/>
        <v>24</v>
      </c>
      <c r="L8" s="34">
        <f>J8/T8</f>
        <v>2.1818181818181817</v>
      </c>
      <c r="M8" s="34">
        <v>2</v>
      </c>
      <c r="T8" s="35">
        <v>11</v>
      </c>
    </row>
    <row r="9" spans="1:20">
      <c r="E9">
        <f>SUM(E4:E8)</f>
        <v>19</v>
      </c>
      <c r="L9" s="36"/>
      <c r="M9" s="36"/>
      <c r="T9" s="35">
        <v>11</v>
      </c>
    </row>
    <row r="10" spans="1:20">
      <c r="L10" s="36"/>
      <c r="M10" s="36"/>
      <c r="T10" s="35">
        <v>11</v>
      </c>
    </row>
    <row r="11" spans="1:20">
      <c r="A11" t="s">
        <v>20</v>
      </c>
      <c r="B11" t="s">
        <v>21</v>
      </c>
      <c r="C11" t="s">
        <v>25</v>
      </c>
      <c r="E11">
        <v>8</v>
      </c>
      <c r="F11" t="s">
        <v>47</v>
      </c>
      <c r="H11" t="s">
        <v>39</v>
      </c>
      <c r="J11">
        <f t="shared" si="0"/>
        <v>64</v>
      </c>
      <c r="L11" s="36">
        <f t="shared" ref="L11:L17" si="1">J11/T11</f>
        <v>5.8181818181818183</v>
      </c>
      <c r="M11" s="36">
        <v>6</v>
      </c>
      <c r="T11" s="35">
        <v>11</v>
      </c>
    </row>
    <row r="12" spans="1:20">
      <c r="B12" t="s">
        <v>22</v>
      </c>
      <c r="E12">
        <v>4</v>
      </c>
      <c r="F12" t="s">
        <v>47</v>
      </c>
      <c r="H12" t="s">
        <v>39</v>
      </c>
      <c r="J12">
        <f t="shared" si="0"/>
        <v>32</v>
      </c>
      <c r="L12" s="36">
        <f t="shared" si="1"/>
        <v>2.9090909090909092</v>
      </c>
      <c r="M12" s="36">
        <v>3</v>
      </c>
      <c r="T12" s="35">
        <v>11</v>
      </c>
    </row>
    <row r="13" spans="1:20">
      <c r="B13" t="s">
        <v>30</v>
      </c>
      <c r="E13">
        <v>6</v>
      </c>
      <c r="F13" t="s">
        <v>47</v>
      </c>
      <c r="H13" t="s">
        <v>39</v>
      </c>
      <c r="J13">
        <f t="shared" si="0"/>
        <v>48</v>
      </c>
      <c r="K13">
        <f>23*2</f>
        <v>46</v>
      </c>
      <c r="L13" s="36">
        <f t="shared" si="1"/>
        <v>4.3636363636363633</v>
      </c>
      <c r="M13" s="36">
        <v>4</v>
      </c>
      <c r="T13" s="35">
        <v>11</v>
      </c>
    </row>
    <row r="14" spans="1:20">
      <c r="B14" t="s">
        <v>31</v>
      </c>
      <c r="E14">
        <v>5</v>
      </c>
      <c r="F14" t="s">
        <v>47</v>
      </c>
      <c r="H14" t="s">
        <v>39</v>
      </c>
      <c r="J14">
        <f t="shared" si="0"/>
        <v>40</v>
      </c>
      <c r="L14" s="36">
        <f t="shared" si="1"/>
        <v>3.6363636363636362</v>
      </c>
      <c r="M14" s="36">
        <v>3</v>
      </c>
      <c r="T14" s="35">
        <v>11</v>
      </c>
    </row>
    <row r="15" spans="1:20">
      <c r="B15" t="s">
        <v>32</v>
      </c>
      <c r="E15">
        <v>7</v>
      </c>
      <c r="F15" t="s">
        <v>47</v>
      </c>
      <c r="H15" s="25" t="s">
        <v>38</v>
      </c>
      <c r="J15" s="25">
        <f t="shared" si="0"/>
        <v>56</v>
      </c>
      <c r="L15" s="34">
        <f t="shared" si="1"/>
        <v>5.0909090909090908</v>
      </c>
      <c r="M15" s="34">
        <v>5</v>
      </c>
      <c r="T15" s="35">
        <v>11</v>
      </c>
    </row>
    <row r="16" spans="1:20">
      <c r="B16" t="s">
        <v>33</v>
      </c>
      <c r="E16">
        <v>2</v>
      </c>
      <c r="F16" t="s">
        <v>47</v>
      </c>
      <c r="H16" s="25" t="s">
        <v>38</v>
      </c>
      <c r="J16" s="25">
        <f t="shared" si="0"/>
        <v>16</v>
      </c>
      <c r="L16" s="34">
        <f t="shared" si="1"/>
        <v>1.4545454545454546</v>
      </c>
      <c r="M16" s="34">
        <v>1</v>
      </c>
      <c r="T16" s="35">
        <v>11</v>
      </c>
    </row>
    <row r="17" spans="2:25">
      <c r="B17" t="s">
        <v>34</v>
      </c>
      <c r="E17">
        <v>5</v>
      </c>
      <c r="F17" t="s">
        <v>47</v>
      </c>
      <c r="H17" t="s">
        <v>39</v>
      </c>
      <c r="J17">
        <f t="shared" si="0"/>
        <v>40</v>
      </c>
      <c r="L17" s="36">
        <f t="shared" si="1"/>
        <v>3.6363636363636362</v>
      </c>
      <c r="M17" s="36">
        <v>4</v>
      </c>
      <c r="T17" s="35">
        <v>11</v>
      </c>
    </row>
    <row r="18" spans="2:25">
      <c r="E18">
        <f>SUM(E11:E17)</f>
        <v>37</v>
      </c>
      <c r="K18">
        <f>20*2</f>
        <v>40</v>
      </c>
      <c r="M18" s="37">
        <f>SUM(M4:M17)</f>
        <v>40</v>
      </c>
      <c r="T18" s="22" t="s">
        <v>61</v>
      </c>
      <c r="V18" t="s">
        <v>60</v>
      </c>
    </row>
    <row r="19" spans="2:25">
      <c r="E19">
        <v>8</v>
      </c>
      <c r="K19">
        <v>11</v>
      </c>
      <c r="M19" s="23">
        <f>T4</f>
        <v>11</v>
      </c>
      <c r="T19" s="23" t="s">
        <v>62</v>
      </c>
      <c r="V19" t="s">
        <v>58</v>
      </c>
      <c r="W19" t="s">
        <v>56</v>
      </c>
      <c r="Y19" s="21" t="s">
        <v>57</v>
      </c>
    </row>
    <row r="20" spans="2:25">
      <c r="E20">
        <f>E18*E19</f>
        <v>296</v>
      </c>
      <c r="K20">
        <f>K18*K19</f>
        <v>440</v>
      </c>
      <c r="M20" s="22">
        <f>M18*M19</f>
        <v>440</v>
      </c>
      <c r="T20" s="22" t="s">
        <v>61</v>
      </c>
      <c r="V20" t="s">
        <v>59</v>
      </c>
      <c r="W20" t="s">
        <v>56</v>
      </c>
    </row>
    <row r="21" spans="2:25">
      <c r="T21" s="35">
        <v>11</v>
      </c>
    </row>
    <row r="22" spans="2:25">
      <c r="E22" s="42"/>
      <c r="F22" s="42"/>
      <c r="G22" s="42"/>
      <c r="H22" s="42"/>
      <c r="I22" s="42"/>
      <c r="J22" s="42"/>
      <c r="K22" s="42">
        <v>18</v>
      </c>
      <c r="L22" s="42">
        <f>K22*2*K19</f>
        <v>396</v>
      </c>
      <c r="T22" s="35">
        <v>11</v>
      </c>
    </row>
    <row r="23" spans="2:25">
      <c r="E23" s="42"/>
      <c r="F23" s="42"/>
      <c r="G23" s="42"/>
      <c r="H23" s="42"/>
      <c r="I23" s="42"/>
      <c r="J23" s="42"/>
      <c r="K23" s="42">
        <v>19</v>
      </c>
      <c r="L23" s="42">
        <f>K23*2*K19</f>
        <v>418</v>
      </c>
    </row>
    <row r="24" spans="2:25">
      <c r="E24" s="42">
        <f>(E9+E18)*E19</f>
        <v>448</v>
      </c>
      <c r="F24" s="42"/>
      <c r="G24" s="42"/>
      <c r="H24" s="42"/>
      <c r="I24" s="42"/>
      <c r="J24" s="42"/>
      <c r="K24" s="42">
        <v>20</v>
      </c>
      <c r="L24" s="42">
        <f>K24*2*K19</f>
        <v>440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D42"/>
  <sheetViews>
    <sheetView showGridLines="0" topLeftCell="P1" zoomScale="85" zoomScaleNormal="85" zoomScaleSheetLayoutView="100" workbookViewId="0">
      <selection activeCell="AE7" sqref="AE7:AF18"/>
    </sheetView>
  </sheetViews>
  <sheetFormatPr baseColWidth="10" defaultColWidth="3.33203125" defaultRowHeight="15" customHeight="1"/>
  <cols>
    <col min="1" max="18" width="3.33203125" style="1"/>
    <col min="19" max="30" width="3.83203125" style="1" customWidth="1"/>
    <col min="31" max="34" width="3.33203125" style="1"/>
    <col min="35" max="35" width="3" style="1" customWidth="1"/>
    <col min="36" max="36" width="3.33203125" style="1"/>
    <col min="37" max="37" width="3" style="1" customWidth="1"/>
    <col min="38" max="38" width="3.33203125" style="1"/>
    <col min="39" max="42" width="2.6640625" style="1" customWidth="1"/>
    <col min="43" max="44" width="3.33203125" style="1" customWidth="1"/>
    <col min="45" max="47" width="3.33203125" style="1"/>
    <col min="48" max="48" width="3.33203125" style="1" customWidth="1"/>
    <col min="49" max="107" width="3.33203125" style="1"/>
    <col min="108" max="108" width="12.1640625" style="1" bestFit="1" customWidth="1"/>
    <col min="109" max="16384" width="3.33203125" style="1"/>
  </cols>
  <sheetData>
    <row r="1" spans="1:108" ht="19.5" customHeight="1">
      <c r="A1" s="85" t="s">
        <v>0</v>
      </c>
      <c r="B1" s="95"/>
      <c r="C1" s="95"/>
      <c r="D1" s="95"/>
      <c r="E1" s="95"/>
      <c r="F1" s="95"/>
      <c r="G1" s="95"/>
      <c r="H1" s="112" t="s">
        <v>110</v>
      </c>
      <c r="I1" s="113"/>
      <c r="J1" s="113"/>
      <c r="K1" s="113"/>
      <c r="L1" s="113"/>
      <c r="M1" s="113"/>
      <c r="N1" s="113"/>
      <c r="O1" s="113"/>
      <c r="P1" s="113"/>
      <c r="Q1" s="113"/>
      <c r="R1" s="114"/>
      <c r="S1" s="106" t="s">
        <v>12</v>
      </c>
      <c r="T1" s="107"/>
      <c r="U1" s="107"/>
      <c r="V1" s="108"/>
      <c r="W1" s="109">
        <v>45868</v>
      </c>
      <c r="X1" s="110"/>
      <c r="Y1" s="110"/>
      <c r="Z1" s="110"/>
      <c r="AA1" s="110"/>
      <c r="AB1" s="110"/>
      <c r="AC1" s="111"/>
      <c r="AD1" s="106" t="s">
        <v>10</v>
      </c>
      <c r="AE1" s="107"/>
      <c r="AF1" s="107"/>
      <c r="AG1" s="108"/>
      <c r="AH1" s="103" t="s">
        <v>79</v>
      </c>
      <c r="AI1" s="104"/>
      <c r="AJ1" s="104"/>
      <c r="AK1" s="104"/>
      <c r="AL1" s="104"/>
      <c r="AM1" s="104"/>
      <c r="AN1" s="104"/>
      <c r="AO1" s="104"/>
      <c r="AP1" s="105"/>
      <c r="AQ1" s="100" t="s">
        <v>14</v>
      </c>
      <c r="AR1" s="101"/>
      <c r="AS1" s="101"/>
      <c r="AT1" s="102"/>
      <c r="AU1" s="103">
        <v>45870</v>
      </c>
      <c r="AV1" s="104"/>
      <c r="AW1" s="104"/>
      <c r="AX1" s="104"/>
      <c r="AY1" s="104"/>
      <c r="AZ1" s="104"/>
      <c r="BA1" s="105"/>
    </row>
    <row r="2" spans="1:108" ht="19.5" customHeight="1">
      <c r="A2" s="83"/>
      <c r="B2" s="99"/>
      <c r="C2" s="99"/>
      <c r="D2" s="99"/>
      <c r="E2" s="99"/>
      <c r="F2" s="99"/>
      <c r="G2" s="99"/>
      <c r="H2" s="115"/>
      <c r="I2" s="116"/>
      <c r="J2" s="116"/>
      <c r="K2" s="116"/>
      <c r="L2" s="116"/>
      <c r="M2" s="116"/>
      <c r="N2" s="116"/>
      <c r="O2" s="116"/>
      <c r="P2" s="116"/>
      <c r="Q2" s="116"/>
      <c r="R2" s="117"/>
      <c r="S2" s="106" t="s">
        <v>13</v>
      </c>
      <c r="T2" s="107"/>
      <c r="U2" s="107"/>
      <c r="V2" s="108"/>
      <c r="W2" s="109"/>
      <c r="X2" s="110"/>
      <c r="Y2" s="110"/>
      <c r="Z2" s="110"/>
      <c r="AA2" s="110"/>
      <c r="AB2" s="110"/>
      <c r="AC2" s="111"/>
      <c r="AD2" s="106" t="s">
        <v>11</v>
      </c>
      <c r="AE2" s="107"/>
      <c r="AF2" s="107"/>
      <c r="AG2" s="108"/>
      <c r="AH2" s="103"/>
      <c r="AI2" s="104"/>
      <c r="AJ2" s="104"/>
      <c r="AK2" s="104"/>
      <c r="AL2" s="104"/>
      <c r="AM2" s="104"/>
      <c r="AN2" s="104"/>
      <c r="AO2" s="104"/>
      <c r="AP2" s="105"/>
      <c r="AQ2" s="100" t="s">
        <v>15</v>
      </c>
      <c r="AR2" s="101"/>
      <c r="AS2" s="101"/>
      <c r="AT2" s="102"/>
      <c r="AU2" s="103">
        <v>45916</v>
      </c>
      <c r="AV2" s="104"/>
      <c r="AW2" s="104"/>
      <c r="AX2" s="104"/>
      <c r="AY2" s="104"/>
      <c r="AZ2" s="104"/>
      <c r="BA2" s="105"/>
    </row>
    <row r="3" spans="1:108" ht="15" customHeight="1">
      <c r="AQ3" s="1">
        <v>1</v>
      </c>
      <c r="AT3" s="1">
        <v>1</v>
      </c>
      <c r="AU3" s="1">
        <v>1</v>
      </c>
      <c r="AV3" s="1">
        <v>1</v>
      </c>
      <c r="AW3" s="1">
        <v>1</v>
      </c>
      <c r="AX3" s="1">
        <v>1</v>
      </c>
      <c r="BB3" s="1">
        <v>1</v>
      </c>
      <c r="BC3" s="1">
        <v>1</v>
      </c>
      <c r="BD3" s="1">
        <v>1</v>
      </c>
      <c r="BE3" s="1">
        <v>1</v>
      </c>
      <c r="BH3" s="1">
        <v>1</v>
      </c>
      <c r="BI3" s="1">
        <v>1</v>
      </c>
      <c r="BJ3" s="1">
        <v>1</v>
      </c>
      <c r="BK3" s="1">
        <v>1</v>
      </c>
      <c r="BL3" s="1">
        <v>1</v>
      </c>
      <c r="BP3" s="1">
        <v>1</v>
      </c>
      <c r="BQ3" s="1">
        <v>1</v>
      </c>
      <c r="BR3" s="1">
        <v>1</v>
      </c>
      <c r="BS3" s="1">
        <v>1</v>
      </c>
      <c r="BV3" s="1">
        <v>1</v>
      </c>
      <c r="BW3" s="1">
        <v>1</v>
      </c>
      <c r="BX3" s="1">
        <v>1</v>
      </c>
      <c r="BY3" s="1">
        <v>1</v>
      </c>
      <c r="BZ3" s="1">
        <v>1</v>
      </c>
    </row>
    <row r="4" spans="1:108" ht="19.5" customHeight="1">
      <c r="A4" s="80" t="s">
        <v>3</v>
      </c>
      <c r="B4" s="80"/>
      <c r="C4" s="86" t="s">
        <v>8</v>
      </c>
      <c r="D4" s="87"/>
      <c r="E4" s="87"/>
      <c r="F4" s="87"/>
      <c r="G4" s="88"/>
      <c r="H4" s="85" t="s">
        <v>5</v>
      </c>
      <c r="I4" s="95"/>
      <c r="J4" s="95"/>
      <c r="K4" s="95"/>
      <c r="L4" s="95"/>
      <c r="M4" s="95"/>
      <c r="N4" s="95"/>
      <c r="O4" s="82"/>
      <c r="P4" s="80" t="s">
        <v>4</v>
      </c>
      <c r="Q4" s="80"/>
      <c r="R4" s="80"/>
      <c r="S4" s="79" t="s">
        <v>6</v>
      </c>
      <c r="T4" s="79"/>
      <c r="U4" s="79"/>
      <c r="V4" s="79"/>
      <c r="W4" s="79"/>
      <c r="X4" s="79"/>
      <c r="Y4" s="80" t="s">
        <v>7</v>
      </c>
      <c r="Z4" s="80"/>
      <c r="AA4" s="80"/>
      <c r="AB4" s="80"/>
      <c r="AC4" s="80"/>
      <c r="AD4" s="80"/>
      <c r="AE4" s="100" t="s">
        <v>18</v>
      </c>
      <c r="AF4" s="101"/>
      <c r="AG4" s="101"/>
      <c r="AH4" s="102"/>
      <c r="AI4" s="118" t="s">
        <v>16</v>
      </c>
      <c r="AJ4" s="119"/>
      <c r="AK4" s="124" t="s">
        <v>17</v>
      </c>
      <c r="AL4" s="125"/>
      <c r="AM4" s="124" t="s">
        <v>29</v>
      </c>
      <c r="AN4" s="130"/>
      <c r="AO4" s="130"/>
      <c r="AP4" s="125"/>
      <c r="AQ4" s="7">
        <f>AU1</f>
        <v>45870</v>
      </c>
      <c r="AR4" s="8" t="str">
        <f>IF(DAY(AR5)=1,AR5,"")</f>
        <v/>
      </c>
      <c r="AS4" s="8" t="str">
        <f t="shared" ref="AS4:DB4" si="0">IF(DAY(AS5)=1,AS5,"")</f>
        <v/>
      </c>
      <c r="AT4" s="8" t="str">
        <f t="shared" si="0"/>
        <v/>
      </c>
      <c r="AU4" s="8"/>
      <c r="AV4" s="8" t="str">
        <f t="shared" si="0"/>
        <v/>
      </c>
      <c r="AW4" s="8" t="str">
        <f t="shared" si="0"/>
        <v/>
      </c>
      <c r="AX4" s="8" t="str">
        <f t="shared" si="0"/>
        <v/>
      </c>
      <c r="AY4" s="8" t="str">
        <f t="shared" si="0"/>
        <v/>
      </c>
      <c r="AZ4" s="8" t="str">
        <f t="shared" si="0"/>
        <v/>
      </c>
      <c r="BA4" s="8" t="str">
        <f t="shared" si="0"/>
        <v/>
      </c>
      <c r="BB4" s="8" t="str">
        <f t="shared" si="0"/>
        <v/>
      </c>
      <c r="BC4" s="8" t="str">
        <f t="shared" si="0"/>
        <v/>
      </c>
      <c r="BD4" s="8" t="str">
        <f t="shared" si="0"/>
        <v/>
      </c>
      <c r="BE4" s="8" t="str">
        <f t="shared" si="0"/>
        <v/>
      </c>
      <c r="BF4" s="8" t="str">
        <f t="shared" si="0"/>
        <v/>
      </c>
      <c r="BG4" s="8" t="str">
        <f t="shared" si="0"/>
        <v/>
      </c>
      <c r="BH4" s="8" t="str">
        <f t="shared" si="0"/>
        <v/>
      </c>
      <c r="BI4" s="8" t="str">
        <f t="shared" si="0"/>
        <v/>
      </c>
      <c r="BJ4" s="8" t="str">
        <f t="shared" si="0"/>
        <v/>
      </c>
      <c r="BK4" s="8" t="str">
        <f t="shared" si="0"/>
        <v/>
      </c>
      <c r="BL4" s="8" t="str">
        <f t="shared" si="0"/>
        <v/>
      </c>
      <c r="BM4" s="8" t="str">
        <f t="shared" si="0"/>
        <v/>
      </c>
      <c r="BN4" s="8" t="str">
        <f t="shared" si="0"/>
        <v/>
      </c>
      <c r="BO4" s="8" t="str">
        <f t="shared" si="0"/>
        <v/>
      </c>
      <c r="BP4" s="8" t="str">
        <f t="shared" si="0"/>
        <v/>
      </c>
      <c r="BQ4" s="8" t="str">
        <f t="shared" si="0"/>
        <v/>
      </c>
      <c r="BR4" s="8" t="str">
        <f t="shared" si="0"/>
        <v/>
      </c>
      <c r="BS4" s="8" t="str">
        <f t="shared" si="0"/>
        <v/>
      </c>
      <c r="BT4" s="8" t="str">
        <f t="shared" si="0"/>
        <v/>
      </c>
      <c r="BU4" s="8" t="str">
        <f t="shared" si="0"/>
        <v/>
      </c>
      <c r="BV4" s="8">
        <f t="shared" si="0"/>
        <v>45901</v>
      </c>
      <c r="BW4" s="8" t="str">
        <f t="shared" si="0"/>
        <v/>
      </c>
      <c r="BX4" s="8" t="str">
        <f t="shared" si="0"/>
        <v/>
      </c>
      <c r="BY4" s="8" t="str">
        <f t="shared" si="0"/>
        <v/>
      </c>
      <c r="BZ4" s="8" t="str">
        <f t="shared" si="0"/>
        <v/>
      </c>
      <c r="CA4" s="8" t="str">
        <f t="shared" si="0"/>
        <v/>
      </c>
      <c r="CB4" s="8" t="str">
        <f t="shared" si="0"/>
        <v/>
      </c>
      <c r="CC4" s="8" t="str">
        <f t="shared" si="0"/>
        <v/>
      </c>
      <c r="CD4" s="8" t="str">
        <f t="shared" si="0"/>
        <v/>
      </c>
      <c r="CE4" s="8" t="str">
        <f t="shared" si="0"/>
        <v/>
      </c>
      <c r="CF4" s="8" t="str">
        <f t="shared" si="0"/>
        <v/>
      </c>
      <c r="CG4" s="8" t="str">
        <f t="shared" si="0"/>
        <v/>
      </c>
      <c r="CH4" s="8" t="str">
        <f t="shared" si="0"/>
        <v/>
      </c>
      <c r="CI4" s="8" t="str">
        <f t="shared" si="0"/>
        <v/>
      </c>
      <c r="CJ4" s="8" t="str">
        <f t="shared" si="0"/>
        <v/>
      </c>
      <c r="CK4" s="8" t="str">
        <f t="shared" si="0"/>
        <v/>
      </c>
      <c r="CL4" s="8" t="str">
        <f t="shared" si="0"/>
        <v/>
      </c>
      <c r="CM4" s="8" t="str">
        <f t="shared" si="0"/>
        <v/>
      </c>
      <c r="CN4" s="8" t="str">
        <f t="shared" si="0"/>
        <v/>
      </c>
      <c r="CO4" s="8" t="str">
        <f t="shared" si="0"/>
        <v/>
      </c>
      <c r="CP4" s="8" t="str">
        <f t="shared" si="0"/>
        <v/>
      </c>
      <c r="CQ4" s="8" t="str">
        <f t="shared" si="0"/>
        <v/>
      </c>
      <c r="CR4" s="8" t="str">
        <f t="shared" si="0"/>
        <v/>
      </c>
      <c r="CS4" s="8" t="str">
        <f t="shared" si="0"/>
        <v/>
      </c>
      <c r="CT4" s="8" t="str">
        <f t="shared" si="0"/>
        <v/>
      </c>
      <c r="CU4" s="8" t="str">
        <f t="shared" si="0"/>
        <v/>
      </c>
      <c r="CV4" s="8" t="str">
        <f t="shared" si="0"/>
        <v/>
      </c>
      <c r="CW4" s="8" t="str">
        <f t="shared" si="0"/>
        <v/>
      </c>
      <c r="CX4" s="8" t="str">
        <f t="shared" si="0"/>
        <v/>
      </c>
      <c r="CY4" s="8" t="str">
        <f t="shared" si="0"/>
        <v/>
      </c>
      <c r="CZ4" s="8">
        <f t="shared" si="0"/>
        <v>45931</v>
      </c>
      <c r="DA4" s="8" t="str">
        <f t="shared" si="0"/>
        <v/>
      </c>
      <c r="DB4" s="9" t="str">
        <f t="shared" si="0"/>
        <v/>
      </c>
      <c r="DC4" s="3"/>
    </row>
    <row r="5" spans="1:108" s="2" customFormat="1" ht="19.5" customHeight="1">
      <c r="A5" s="80"/>
      <c r="B5" s="80"/>
      <c r="C5" s="89"/>
      <c r="D5" s="90"/>
      <c r="E5" s="90"/>
      <c r="F5" s="90"/>
      <c r="G5" s="91"/>
      <c r="H5" s="96"/>
      <c r="I5" s="97"/>
      <c r="J5" s="97"/>
      <c r="K5" s="97"/>
      <c r="L5" s="97"/>
      <c r="M5" s="97"/>
      <c r="N5" s="97"/>
      <c r="O5" s="98"/>
      <c r="P5" s="80"/>
      <c r="Q5" s="80"/>
      <c r="R5" s="80"/>
      <c r="S5" s="79" t="s">
        <v>1</v>
      </c>
      <c r="T5" s="79"/>
      <c r="U5" s="79"/>
      <c r="V5" s="79" t="s">
        <v>2</v>
      </c>
      <c r="W5" s="79"/>
      <c r="X5" s="79"/>
      <c r="Y5" s="80" t="s">
        <v>1</v>
      </c>
      <c r="Z5" s="80"/>
      <c r="AA5" s="80"/>
      <c r="AB5" s="80" t="s">
        <v>2</v>
      </c>
      <c r="AC5" s="80"/>
      <c r="AD5" s="80"/>
      <c r="AE5" s="81" t="s">
        <v>6</v>
      </c>
      <c r="AF5" s="82"/>
      <c r="AG5" s="85" t="s">
        <v>9</v>
      </c>
      <c r="AH5" s="82"/>
      <c r="AI5" s="120"/>
      <c r="AJ5" s="121"/>
      <c r="AK5" s="126"/>
      <c r="AL5" s="127"/>
      <c r="AM5" s="126"/>
      <c r="AN5" s="131"/>
      <c r="AO5" s="131"/>
      <c r="AP5" s="127"/>
      <c r="AQ5" s="5">
        <f>AU1</f>
        <v>45870</v>
      </c>
      <c r="AR5" s="5">
        <f t="shared" ref="AR5" si="1">AQ5+1</f>
        <v>45871</v>
      </c>
      <c r="AS5" s="5">
        <f t="shared" ref="AS5" si="2">AR5+1</f>
        <v>45872</v>
      </c>
      <c r="AT5" s="5">
        <f t="shared" ref="AT5" si="3">AS5+1</f>
        <v>45873</v>
      </c>
      <c r="AU5" s="5">
        <f t="shared" ref="AU5" si="4">AT5+1</f>
        <v>45874</v>
      </c>
      <c r="AV5" s="5">
        <f t="shared" ref="AV5" si="5">AU5+1</f>
        <v>45875</v>
      </c>
      <c r="AW5" s="5">
        <f t="shared" ref="AW5" si="6">AV5+1</f>
        <v>45876</v>
      </c>
      <c r="AX5" s="5">
        <f t="shared" ref="AX5" si="7">AW5+1</f>
        <v>45877</v>
      </c>
      <c r="AY5" s="5">
        <f t="shared" ref="AY5" si="8">AX5+1</f>
        <v>45878</v>
      </c>
      <c r="AZ5" s="5">
        <f t="shared" ref="AZ5" si="9">AY5+1</f>
        <v>45879</v>
      </c>
      <c r="BA5" s="18">
        <f t="shared" ref="BA5" si="10">AZ5+1</f>
        <v>45880</v>
      </c>
      <c r="BB5" s="5">
        <f t="shared" ref="BB5" si="11">BA5+1</f>
        <v>45881</v>
      </c>
      <c r="BC5" s="5">
        <f t="shared" ref="BC5" si="12">BB5+1</f>
        <v>45882</v>
      </c>
      <c r="BD5" s="30">
        <f t="shared" ref="BD5" si="13">BC5+1</f>
        <v>45883</v>
      </c>
      <c r="BE5" s="30">
        <f t="shared" ref="BE5" si="14">BD5+1</f>
        <v>45884</v>
      </c>
      <c r="BF5" s="5">
        <f t="shared" ref="BF5" si="15">BE5+1</f>
        <v>45885</v>
      </c>
      <c r="BG5" s="5">
        <f t="shared" ref="BG5" si="16">BF5+1</f>
        <v>45886</v>
      </c>
      <c r="BH5" s="5">
        <f t="shared" ref="BH5" si="17">BG5+1</f>
        <v>45887</v>
      </c>
      <c r="BI5" s="5">
        <f t="shared" ref="BI5" si="18">BH5+1</f>
        <v>45888</v>
      </c>
      <c r="BJ5" s="5">
        <f t="shared" ref="BJ5" si="19">BI5+1</f>
        <v>45889</v>
      </c>
      <c r="BK5" s="5">
        <f t="shared" ref="BK5" si="20">BJ5+1</f>
        <v>45890</v>
      </c>
      <c r="BL5" s="5">
        <f t="shared" ref="BL5" si="21">BK5+1</f>
        <v>45891</v>
      </c>
      <c r="BM5" s="5">
        <f t="shared" ref="BM5" si="22">BL5+1</f>
        <v>45892</v>
      </c>
      <c r="BN5" s="5">
        <f t="shared" ref="BN5" si="23">BM5+1</f>
        <v>45893</v>
      </c>
      <c r="BO5" s="18">
        <f t="shared" ref="BO5" si="24">BN5+1</f>
        <v>45894</v>
      </c>
      <c r="BP5" s="5">
        <f t="shared" ref="BP5" si="25">BO5+1</f>
        <v>45895</v>
      </c>
      <c r="BQ5" s="5">
        <f t="shared" ref="BQ5" si="26">BP5+1</f>
        <v>45896</v>
      </c>
      <c r="BR5" s="5">
        <f t="shared" ref="BR5" si="27">BQ5+1</f>
        <v>45897</v>
      </c>
      <c r="BS5" s="5">
        <f t="shared" ref="BS5" si="28">BR5+1</f>
        <v>45898</v>
      </c>
      <c r="BT5" s="5">
        <f t="shared" ref="BT5" si="29">BS5+1</f>
        <v>45899</v>
      </c>
      <c r="BU5" s="5">
        <f t="shared" ref="BU5" si="30">BT5+1</f>
        <v>45900</v>
      </c>
      <c r="BV5" s="5">
        <f t="shared" ref="BV5" si="31">BU5+1</f>
        <v>45901</v>
      </c>
      <c r="BW5" s="5">
        <f t="shared" ref="BW5" si="32">BV5+1</f>
        <v>45902</v>
      </c>
      <c r="BX5" s="5">
        <f t="shared" ref="BX5" si="33">BW5+1</f>
        <v>45903</v>
      </c>
      <c r="BY5" s="5">
        <f t="shared" ref="BY5" si="34">BX5+1</f>
        <v>45904</v>
      </c>
      <c r="BZ5" s="5">
        <f t="shared" ref="BZ5" si="35">BY5+1</f>
        <v>45905</v>
      </c>
      <c r="CA5" s="5">
        <f t="shared" ref="CA5" si="36">BZ5+1</f>
        <v>45906</v>
      </c>
      <c r="CB5" s="5">
        <f t="shared" ref="CB5" si="37">CA5+1</f>
        <v>45907</v>
      </c>
      <c r="CC5" s="5">
        <f t="shared" ref="CC5" si="38">CB5+1</f>
        <v>45908</v>
      </c>
      <c r="CD5" s="5">
        <f t="shared" ref="CD5" si="39">CC5+1</f>
        <v>45909</v>
      </c>
      <c r="CE5" s="5">
        <f t="shared" ref="CE5" si="40">CD5+1</f>
        <v>45910</v>
      </c>
      <c r="CF5" s="5">
        <f t="shared" ref="CF5" si="41">CE5+1</f>
        <v>45911</v>
      </c>
      <c r="CG5" s="5">
        <f t="shared" ref="CG5" si="42">CF5+1</f>
        <v>45912</v>
      </c>
      <c r="CH5" s="5">
        <f t="shared" ref="CH5" si="43">CG5+1</f>
        <v>45913</v>
      </c>
      <c r="CI5" s="5">
        <f t="shared" ref="CI5" si="44">CH5+1</f>
        <v>45914</v>
      </c>
      <c r="CJ5" s="5">
        <f t="shared" ref="CJ5" si="45">CI5+1</f>
        <v>45915</v>
      </c>
      <c r="CK5" s="5">
        <f t="shared" ref="CK5" si="46">CJ5+1</f>
        <v>45916</v>
      </c>
      <c r="CL5" s="5">
        <f t="shared" ref="CL5" si="47">CK5+1</f>
        <v>45917</v>
      </c>
      <c r="CM5" s="5">
        <f t="shared" ref="CM5" si="48">CL5+1</f>
        <v>45918</v>
      </c>
      <c r="CN5" s="5">
        <f t="shared" ref="CN5" si="49">CM5+1</f>
        <v>45919</v>
      </c>
      <c r="CO5" s="5">
        <f t="shared" ref="CO5" si="50">CN5+1</f>
        <v>45920</v>
      </c>
      <c r="CP5" s="5">
        <f t="shared" ref="CP5" si="51">CO5+1</f>
        <v>45921</v>
      </c>
      <c r="CQ5" s="5">
        <f t="shared" ref="CQ5" si="52">CP5+1</f>
        <v>45922</v>
      </c>
      <c r="CR5" s="5">
        <f t="shared" ref="CR5" si="53">CQ5+1</f>
        <v>45923</v>
      </c>
      <c r="CS5" s="5">
        <f t="shared" ref="CS5" si="54">CR5+1</f>
        <v>45924</v>
      </c>
      <c r="CT5" s="5">
        <f t="shared" ref="CT5" si="55">CS5+1</f>
        <v>45925</v>
      </c>
      <c r="CU5" s="5">
        <f t="shared" ref="CU5" si="56">CT5+1</f>
        <v>45926</v>
      </c>
      <c r="CV5" s="5">
        <f t="shared" ref="CV5" si="57">CU5+1</f>
        <v>45927</v>
      </c>
      <c r="CW5" s="5">
        <f t="shared" ref="CW5" si="58">CV5+1</f>
        <v>45928</v>
      </c>
      <c r="CX5" s="5">
        <f t="shared" ref="CX5" si="59">CW5+1</f>
        <v>45929</v>
      </c>
      <c r="CY5" s="5">
        <f t="shared" ref="CY5" si="60">CX5+1</f>
        <v>45930</v>
      </c>
      <c r="CZ5" s="5">
        <f t="shared" ref="CZ5" si="61">CY5+1</f>
        <v>45931</v>
      </c>
      <c r="DA5" s="5">
        <f t="shared" ref="DA5" si="62">CZ5+1</f>
        <v>45932</v>
      </c>
      <c r="DB5" s="5">
        <f t="shared" ref="DB5" si="63">DA5+1</f>
        <v>45933</v>
      </c>
      <c r="DD5" s="3"/>
    </row>
    <row r="6" spans="1:108" ht="19.5" customHeight="1">
      <c r="A6" s="80"/>
      <c r="B6" s="80"/>
      <c r="C6" s="92"/>
      <c r="D6" s="93"/>
      <c r="E6" s="93"/>
      <c r="F6" s="93"/>
      <c r="G6" s="94"/>
      <c r="H6" s="83"/>
      <c r="I6" s="99"/>
      <c r="J6" s="99"/>
      <c r="K6" s="99"/>
      <c r="L6" s="99"/>
      <c r="M6" s="99"/>
      <c r="N6" s="99"/>
      <c r="O6" s="84"/>
      <c r="P6" s="80"/>
      <c r="Q6" s="80"/>
      <c r="R6" s="80"/>
      <c r="S6" s="79"/>
      <c r="T6" s="79"/>
      <c r="U6" s="79"/>
      <c r="V6" s="79"/>
      <c r="W6" s="79"/>
      <c r="X6" s="79"/>
      <c r="Y6" s="80"/>
      <c r="Z6" s="80"/>
      <c r="AA6" s="80"/>
      <c r="AB6" s="80"/>
      <c r="AC6" s="80"/>
      <c r="AD6" s="80"/>
      <c r="AE6" s="83"/>
      <c r="AF6" s="84"/>
      <c r="AG6" s="83"/>
      <c r="AH6" s="84"/>
      <c r="AI6" s="122"/>
      <c r="AJ6" s="123"/>
      <c r="AK6" s="128"/>
      <c r="AL6" s="129"/>
      <c r="AM6" s="128"/>
      <c r="AN6" s="132"/>
      <c r="AO6" s="132"/>
      <c r="AP6" s="129"/>
      <c r="AQ6" s="6" t="str">
        <f>TEXT(AQ5,"aaa")</f>
        <v>金</v>
      </c>
      <c r="AR6" s="6" t="str">
        <f t="shared" ref="AR6:AU6" si="64">TEXT(AR5,"aaa")</f>
        <v>土</v>
      </c>
      <c r="AS6" s="6" t="str">
        <f t="shared" si="64"/>
        <v>日</v>
      </c>
      <c r="AT6" s="6" t="str">
        <f t="shared" si="64"/>
        <v>月</v>
      </c>
      <c r="AU6" s="6" t="str">
        <f t="shared" si="64"/>
        <v>火</v>
      </c>
      <c r="AV6" s="6" t="str">
        <f>TEXT(AV5,"aaa")</f>
        <v>水</v>
      </c>
      <c r="AW6" s="6" t="str">
        <f t="shared" ref="AW6:DB6" si="65">TEXT(AW5,"aaa")</f>
        <v>木</v>
      </c>
      <c r="AX6" s="6" t="str">
        <f t="shared" si="65"/>
        <v>金</v>
      </c>
      <c r="AY6" s="6" t="str">
        <f t="shared" si="65"/>
        <v>土</v>
      </c>
      <c r="AZ6" s="6" t="str">
        <f t="shared" si="65"/>
        <v>日</v>
      </c>
      <c r="BA6" s="19" t="str">
        <f t="shared" si="65"/>
        <v>月</v>
      </c>
      <c r="BB6" s="6" t="str">
        <f t="shared" si="65"/>
        <v>火</v>
      </c>
      <c r="BC6" s="6" t="str">
        <f t="shared" si="65"/>
        <v>水</v>
      </c>
      <c r="BD6" s="20" t="str">
        <f t="shared" si="65"/>
        <v>木</v>
      </c>
      <c r="BE6" s="20" t="str">
        <f t="shared" si="65"/>
        <v>金</v>
      </c>
      <c r="BF6" s="6" t="str">
        <f t="shared" si="65"/>
        <v>土</v>
      </c>
      <c r="BG6" s="6" t="str">
        <f t="shared" si="65"/>
        <v>日</v>
      </c>
      <c r="BH6" s="6" t="str">
        <f t="shared" si="65"/>
        <v>月</v>
      </c>
      <c r="BI6" s="6" t="str">
        <f t="shared" si="65"/>
        <v>火</v>
      </c>
      <c r="BJ6" s="6" t="str">
        <f t="shared" si="65"/>
        <v>水</v>
      </c>
      <c r="BK6" s="6" t="str">
        <f t="shared" si="65"/>
        <v>木</v>
      </c>
      <c r="BL6" s="6" t="str">
        <f t="shared" si="65"/>
        <v>金</v>
      </c>
      <c r="BM6" s="6" t="str">
        <f t="shared" si="65"/>
        <v>土</v>
      </c>
      <c r="BN6" s="6" t="str">
        <f t="shared" si="65"/>
        <v>日</v>
      </c>
      <c r="BO6" s="19" t="str">
        <f t="shared" si="65"/>
        <v>月</v>
      </c>
      <c r="BP6" s="6" t="str">
        <f t="shared" si="65"/>
        <v>火</v>
      </c>
      <c r="BQ6" s="6" t="str">
        <f t="shared" si="65"/>
        <v>水</v>
      </c>
      <c r="BR6" s="6" t="str">
        <f t="shared" si="65"/>
        <v>木</v>
      </c>
      <c r="BS6" s="6" t="str">
        <f t="shared" si="65"/>
        <v>金</v>
      </c>
      <c r="BT6" s="6" t="str">
        <f t="shared" si="65"/>
        <v>土</v>
      </c>
      <c r="BU6" s="6" t="str">
        <f t="shared" si="65"/>
        <v>日</v>
      </c>
      <c r="BV6" s="6" t="str">
        <f t="shared" si="65"/>
        <v>月</v>
      </c>
      <c r="BW6" s="6" t="str">
        <f t="shared" si="65"/>
        <v>火</v>
      </c>
      <c r="BX6" s="6" t="str">
        <f t="shared" si="65"/>
        <v>水</v>
      </c>
      <c r="BY6" s="6" t="str">
        <f t="shared" si="65"/>
        <v>木</v>
      </c>
      <c r="BZ6" s="6" t="str">
        <f t="shared" si="65"/>
        <v>金</v>
      </c>
      <c r="CA6" s="6" t="str">
        <f t="shared" si="65"/>
        <v>土</v>
      </c>
      <c r="CB6" s="6" t="str">
        <f t="shared" si="65"/>
        <v>日</v>
      </c>
      <c r="CC6" s="6" t="str">
        <f t="shared" si="65"/>
        <v>月</v>
      </c>
      <c r="CD6" s="6" t="str">
        <f t="shared" si="65"/>
        <v>火</v>
      </c>
      <c r="CE6" s="6" t="str">
        <f t="shared" si="65"/>
        <v>水</v>
      </c>
      <c r="CF6" s="6" t="str">
        <f t="shared" si="65"/>
        <v>木</v>
      </c>
      <c r="CG6" s="6" t="str">
        <f t="shared" si="65"/>
        <v>金</v>
      </c>
      <c r="CH6" s="6" t="str">
        <f t="shared" si="65"/>
        <v>土</v>
      </c>
      <c r="CI6" s="6" t="str">
        <f t="shared" si="65"/>
        <v>日</v>
      </c>
      <c r="CJ6" s="6" t="str">
        <f t="shared" si="65"/>
        <v>月</v>
      </c>
      <c r="CK6" s="6" t="str">
        <f t="shared" si="65"/>
        <v>火</v>
      </c>
      <c r="CL6" s="6" t="str">
        <f t="shared" si="65"/>
        <v>水</v>
      </c>
      <c r="CM6" s="6" t="str">
        <f t="shared" si="65"/>
        <v>木</v>
      </c>
      <c r="CN6" s="6" t="str">
        <f t="shared" si="65"/>
        <v>金</v>
      </c>
      <c r="CO6" s="6" t="str">
        <f t="shared" si="65"/>
        <v>土</v>
      </c>
      <c r="CP6" s="6" t="str">
        <f t="shared" si="65"/>
        <v>日</v>
      </c>
      <c r="CQ6" s="6" t="str">
        <f t="shared" si="65"/>
        <v>月</v>
      </c>
      <c r="CR6" s="6" t="str">
        <f t="shared" si="65"/>
        <v>火</v>
      </c>
      <c r="CS6" s="6" t="str">
        <f t="shared" si="65"/>
        <v>水</v>
      </c>
      <c r="CT6" s="6" t="str">
        <f t="shared" si="65"/>
        <v>木</v>
      </c>
      <c r="CU6" s="6" t="str">
        <f t="shared" si="65"/>
        <v>金</v>
      </c>
      <c r="CV6" s="6" t="str">
        <f t="shared" si="65"/>
        <v>土</v>
      </c>
      <c r="CW6" s="6" t="str">
        <f t="shared" si="65"/>
        <v>日</v>
      </c>
      <c r="CX6" s="6" t="str">
        <f t="shared" si="65"/>
        <v>月</v>
      </c>
      <c r="CY6" s="6" t="str">
        <f t="shared" si="65"/>
        <v>火</v>
      </c>
      <c r="CZ6" s="6" t="str">
        <f t="shared" si="65"/>
        <v>水</v>
      </c>
      <c r="DA6" s="6" t="str">
        <f t="shared" si="65"/>
        <v>木</v>
      </c>
      <c r="DB6" s="6" t="str">
        <f t="shared" si="65"/>
        <v>金</v>
      </c>
      <c r="DD6" s="2"/>
    </row>
    <row r="7" spans="1:108" ht="18.75" customHeight="1">
      <c r="A7" s="65">
        <v>1</v>
      </c>
      <c r="B7" s="65"/>
      <c r="C7" s="136" t="s">
        <v>51</v>
      </c>
      <c r="D7" s="136"/>
      <c r="E7" s="136"/>
      <c r="F7" s="136"/>
      <c r="G7" s="136"/>
      <c r="H7" s="69" t="s">
        <v>52</v>
      </c>
      <c r="I7" s="70"/>
      <c r="J7" s="70"/>
      <c r="K7" s="70"/>
      <c r="L7" s="70"/>
      <c r="M7" s="70"/>
      <c r="N7" s="70"/>
      <c r="O7" s="71"/>
      <c r="P7" s="133" t="s">
        <v>38</v>
      </c>
      <c r="Q7" s="134"/>
      <c r="R7" s="135"/>
      <c r="S7" s="76">
        <v>45870</v>
      </c>
      <c r="T7" s="77"/>
      <c r="U7" s="78"/>
      <c r="V7" s="67">
        <v>45876</v>
      </c>
      <c r="W7" s="67"/>
      <c r="X7" s="67"/>
      <c r="Y7" s="67"/>
      <c r="Z7" s="67"/>
      <c r="AA7" s="67"/>
      <c r="AB7" s="67"/>
      <c r="AC7" s="67"/>
      <c r="AD7" s="67"/>
      <c r="AE7" s="68">
        <f>NETWORKDAYS(MIN(IFERROR(DATEVALUE(S7),S7), IFERROR(DATEVALUE(V7),V7)),MAX(IFERROR(DATEVALUE(S7),S7), IFERROR(DATEVALUE(V7),V7)),$DD$7:$DD$9)*11</f>
        <v>55</v>
      </c>
      <c r="AF7" s="58"/>
      <c r="AG7" s="72"/>
      <c r="AH7" s="73"/>
      <c r="AI7" s="74"/>
      <c r="AJ7" s="75"/>
      <c r="AK7" s="74"/>
      <c r="AL7" s="75"/>
      <c r="AM7" s="61">
        <f>AE7*AK7-AI7*AE7</f>
        <v>0</v>
      </c>
      <c r="AN7" s="62"/>
      <c r="AO7" s="62"/>
      <c r="AP7" s="63"/>
      <c r="AQ7" s="28"/>
      <c r="AR7" s="6"/>
      <c r="AS7" s="6"/>
      <c r="AT7" s="28"/>
      <c r="AU7" s="28"/>
      <c r="AV7" s="28"/>
      <c r="AW7" s="29"/>
      <c r="AX7" s="10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D7" s="32">
        <v>45880</v>
      </c>
    </row>
    <row r="8" spans="1:108" ht="18.75" customHeight="1">
      <c r="A8" s="65">
        <v>2</v>
      </c>
      <c r="B8" s="65"/>
      <c r="C8" s="136" t="s">
        <v>51</v>
      </c>
      <c r="D8" s="136"/>
      <c r="E8" s="136"/>
      <c r="F8" s="136"/>
      <c r="G8" s="136"/>
      <c r="H8" s="69" t="s">
        <v>74</v>
      </c>
      <c r="I8" s="70"/>
      <c r="J8" s="70"/>
      <c r="K8" s="70"/>
      <c r="L8" s="70"/>
      <c r="M8" s="70"/>
      <c r="N8" s="70"/>
      <c r="O8" s="71"/>
      <c r="P8" s="133" t="s">
        <v>38</v>
      </c>
      <c r="Q8" s="134"/>
      <c r="R8" s="135"/>
      <c r="S8" s="76">
        <v>45877</v>
      </c>
      <c r="T8" s="77"/>
      <c r="U8" s="78"/>
      <c r="V8" s="67">
        <v>45881</v>
      </c>
      <c r="W8" s="77"/>
      <c r="X8" s="78"/>
      <c r="Y8" s="67"/>
      <c r="Z8" s="67"/>
      <c r="AA8" s="67"/>
      <c r="AB8" s="67"/>
      <c r="AC8" s="67"/>
      <c r="AD8" s="67"/>
      <c r="AE8" s="68">
        <f t="shared" ref="AE8:AE18" si="66">NETWORKDAYS(MIN(IFERROR(DATEVALUE(S8),S8), IFERROR(DATEVALUE(V8),V8)),MAX(IFERROR(DATEVALUE(S8),S8), IFERROR(DATEVALUE(V8),V8)),$DD$7:$DD$9)*11</f>
        <v>22</v>
      </c>
      <c r="AF8" s="58"/>
      <c r="AG8" s="57"/>
      <c r="AH8" s="58"/>
      <c r="AI8" s="59"/>
      <c r="AJ8" s="60"/>
      <c r="AK8" s="59"/>
      <c r="AL8" s="60"/>
      <c r="AM8" s="61">
        <f t="shared" ref="AM8" si="67">AE8*AK8-AI8*AE8</f>
        <v>0</v>
      </c>
      <c r="AN8" s="62"/>
      <c r="AO8" s="62"/>
      <c r="AP8" s="63"/>
      <c r="AQ8" s="4"/>
      <c r="AR8" s="4"/>
      <c r="AS8" s="4"/>
      <c r="AT8" s="4"/>
      <c r="AU8" s="4"/>
      <c r="AV8" s="4"/>
      <c r="AW8" s="4"/>
      <c r="AX8" s="29"/>
      <c r="AY8" s="4"/>
      <c r="AZ8" s="4"/>
      <c r="BA8" s="4"/>
      <c r="BB8" s="29"/>
      <c r="BC8" s="10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D8" s="32">
        <v>45893</v>
      </c>
    </row>
    <row r="9" spans="1:108" ht="18.75" customHeight="1">
      <c r="A9" s="65">
        <v>3</v>
      </c>
      <c r="B9" s="65"/>
      <c r="C9" s="136" t="s">
        <v>51</v>
      </c>
      <c r="D9" s="136"/>
      <c r="E9" s="136"/>
      <c r="F9" s="136"/>
      <c r="G9" s="136"/>
      <c r="H9" s="69" t="s">
        <v>75</v>
      </c>
      <c r="I9" s="70"/>
      <c r="J9" s="70"/>
      <c r="K9" s="70"/>
      <c r="L9" s="70"/>
      <c r="M9" s="70"/>
      <c r="N9" s="70"/>
      <c r="O9" s="71"/>
      <c r="P9" s="133" t="s">
        <v>38</v>
      </c>
      <c r="Q9" s="134"/>
      <c r="R9" s="135"/>
      <c r="S9" s="76">
        <v>45882</v>
      </c>
      <c r="T9" s="77"/>
      <c r="U9" s="78"/>
      <c r="V9" s="67">
        <v>45884</v>
      </c>
      <c r="W9" s="77"/>
      <c r="X9" s="78"/>
      <c r="Y9" s="67"/>
      <c r="Z9" s="67"/>
      <c r="AA9" s="67"/>
      <c r="AB9" s="67"/>
      <c r="AC9" s="67"/>
      <c r="AD9" s="67"/>
      <c r="AE9" s="68">
        <f t="shared" si="66"/>
        <v>33</v>
      </c>
      <c r="AF9" s="58"/>
      <c r="AG9" s="72"/>
      <c r="AH9" s="73"/>
      <c r="AI9" s="74"/>
      <c r="AJ9" s="75"/>
      <c r="AK9" s="74"/>
      <c r="AL9" s="75"/>
      <c r="AM9" s="61">
        <f>AE9*AK9-AI9*AE9</f>
        <v>0</v>
      </c>
      <c r="AN9" s="62"/>
      <c r="AO9" s="62"/>
      <c r="AP9" s="63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29"/>
      <c r="BD9" s="29"/>
      <c r="BE9" s="29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D9" s="32">
        <v>45894</v>
      </c>
    </row>
    <row r="10" spans="1:108" ht="18.75" customHeight="1">
      <c r="A10" s="65">
        <v>4</v>
      </c>
      <c r="B10" s="65"/>
      <c r="C10" s="136" t="s">
        <v>51</v>
      </c>
      <c r="D10" s="136"/>
      <c r="E10" s="136"/>
      <c r="F10" s="136"/>
      <c r="G10" s="136"/>
      <c r="H10" s="69" t="s">
        <v>76</v>
      </c>
      <c r="I10" s="70"/>
      <c r="J10" s="70"/>
      <c r="K10" s="70"/>
      <c r="L10" s="70"/>
      <c r="M10" s="70"/>
      <c r="N10" s="70"/>
      <c r="O10" s="71"/>
      <c r="P10" s="133" t="s">
        <v>38</v>
      </c>
      <c r="Q10" s="134"/>
      <c r="R10" s="135"/>
      <c r="S10" s="67">
        <v>45887</v>
      </c>
      <c r="T10" s="67"/>
      <c r="U10" s="67"/>
      <c r="V10" s="67">
        <v>45888</v>
      </c>
      <c r="W10" s="67"/>
      <c r="X10" s="67"/>
      <c r="Y10" s="67"/>
      <c r="Z10" s="67"/>
      <c r="AA10" s="67"/>
      <c r="AB10" s="67"/>
      <c r="AC10" s="67"/>
      <c r="AD10" s="67"/>
      <c r="AE10" s="68">
        <f t="shared" si="66"/>
        <v>22</v>
      </c>
      <c r="AF10" s="58"/>
      <c r="AG10" s="72"/>
      <c r="AH10" s="73"/>
      <c r="AI10" s="74"/>
      <c r="AJ10" s="75"/>
      <c r="AK10" s="74"/>
      <c r="AL10" s="75"/>
      <c r="AM10" s="61">
        <f t="shared" ref="AM10:AM35" si="68">AE10*AK10-AI10*AE10</f>
        <v>0</v>
      </c>
      <c r="AN10" s="62"/>
      <c r="AO10" s="62"/>
      <c r="AP10" s="63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29"/>
      <c r="BI10" s="29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D10" s="33"/>
    </row>
    <row r="11" spans="1:108" ht="18.75" customHeight="1">
      <c r="A11" s="65">
        <v>5</v>
      </c>
      <c r="B11" s="65"/>
      <c r="C11" s="136" t="s">
        <v>51</v>
      </c>
      <c r="D11" s="136"/>
      <c r="E11" s="136"/>
      <c r="F11" s="136"/>
      <c r="G11" s="136"/>
      <c r="H11" s="69" t="s">
        <v>77</v>
      </c>
      <c r="I11" s="70"/>
      <c r="J11" s="70"/>
      <c r="K11" s="70"/>
      <c r="L11" s="70"/>
      <c r="M11" s="70"/>
      <c r="N11" s="70"/>
      <c r="O11" s="71"/>
      <c r="P11" s="133" t="s">
        <v>38</v>
      </c>
      <c r="Q11" s="134"/>
      <c r="R11" s="135"/>
      <c r="S11" s="67">
        <v>45889</v>
      </c>
      <c r="T11" s="67"/>
      <c r="U11" s="67"/>
      <c r="V11" s="67">
        <v>45890</v>
      </c>
      <c r="W11" s="67"/>
      <c r="X11" s="67"/>
      <c r="Y11" s="67"/>
      <c r="Z11" s="67"/>
      <c r="AA11" s="67"/>
      <c r="AB11" s="67"/>
      <c r="AC11" s="67"/>
      <c r="AD11" s="67"/>
      <c r="AE11" s="68">
        <f t="shared" si="66"/>
        <v>22</v>
      </c>
      <c r="AF11" s="58"/>
      <c r="AG11" s="72"/>
      <c r="AH11" s="73"/>
      <c r="AI11" s="74"/>
      <c r="AJ11" s="75"/>
      <c r="AK11" s="74"/>
      <c r="AL11" s="75"/>
      <c r="AM11" s="61">
        <f t="shared" si="68"/>
        <v>0</v>
      </c>
      <c r="AN11" s="62"/>
      <c r="AO11" s="62"/>
      <c r="AP11" s="63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29"/>
      <c r="BK11" s="29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D11" s="33"/>
    </row>
    <row r="12" spans="1:108" ht="18.75" customHeight="1">
      <c r="A12" s="65">
        <v>6</v>
      </c>
      <c r="B12" s="65"/>
      <c r="C12" s="66" t="s">
        <v>80</v>
      </c>
      <c r="D12" s="66"/>
      <c r="E12" s="66"/>
      <c r="F12" s="66"/>
      <c r="G12" s="66"/>
      <c r="H12" s="69" t="s">
        <v>81</v>
      </c>
      <c r="I12" s="70"/>
      <c r="J12" s="70"/>
      <c r="K12" s="70"/>
      <c r="L12" s="70"/>
      <c r="M12" s="70"/>
      <c r="N12" s="70"/>
      <c r="O12" s="71"/>
      <c r="P12" s="69" t="s">
        <v>39</v>
      </c>
      <c r="Q12" s="70"/>
      <c r="R12" s="71"/>
      <c r="S12" s="67">
        <v>45870</v>
      </c>
      <c r="T12" s="67"/>
      <c r="U12" s="67"/>
      <c r="V12" s="67">
        <v>45877</v>
      </c>
      <c r="W12" s="67"/>
      <c r="X12" s="67"/>
      <c r="Y12" s="67"/>
      <c r="Z12" s="67"/>
      <c r="AA12" s="67"/>
      <c r="AB12" s="67"/>
      <c r="AC12" s="67"/>
      <c r="AD12" s="67"/>
      <c r="AE12" s="68">
        <f t="shared" si="66"/>
        <v>66</v>
      </c>
      <c r="AF12" s="58"/>
      <c r="AG12" s="72"/>
      <c r="AH12" s="73"/>
      <c r="AI12" s="74"/>
      <c r="AJ12" s="75"/>
      <c r="AK12" s="74"/>
      <c r="AL12" s="75"/>
      <c r="AM12" s="61">
        <f t="shared" si="68"/>
        <v>0</v>
      </c>
      <c r="AN12" s="62"/>
      <c r="AO12" s="62"/>
      <c r="AP12" s="63"/>
      <c r="AQ12" s="31"/>
      <c r="AR12" s="4"/>
      <c r="AS12" s="4"/>
      <c r="AT12" s="31"/>
      <c r="AU12" s="31"/>
      <c r="AV12" s="31"/>
      <c r="AW12" s="31"/>
      <c r="AX12" s="31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D12" s="33"/>
    </row>
    <row r="13" spans="1:108" ht="18.75" customHeight="1">
      <c r="A13" s="65">
        <v>7</v>
      </c>
      <c r="B13" s="65"/>
      <c r="C13" s="66" t="s">
        <v>80</v>
      </c>
      <c r="D13" s="66"/>
      <c r="E13" s="66"/>
      <c r="F13" s="66"/>
      <c r="G13" s="66"/>
      <c r="H13" s="69" t="s">
        <v>82</v>
      </c>
      <c r="I13" s="70"/>
      <c r="J13" s="70"/>
      <c r="K13" s="70"/>
      <c r="L13" s="70"/>
      <c r="M13" s="70"/>
      <c r="N13" s="70"/>
      <c r="O13" s="71"/>
      <c r="P13" s="69" t="s">
        <v>39</v>
      </c>
      <c r="Q13" s="70"/>
      <c r="R13" s="71"/>
      <c r="S13" s="67">
        <v>45881</v>
      </c>
      <c r="T13" s="67"/>
      <c r="U13" s="67"/>
      <c r="V13" s="67">
        <v>45883</v>
      </c>
      <c r="W13" s="67"/>
      <c r="X13" s="67"/>
      <c r="Y13" s="67"/>
      <c r="Z13" s="67"/>
      <c r="AA13" s="67"/>
      <c r="AB13" s="67"/>
      <c r="AC13" s="67"/>
      <c r="AD13" s="67"/>
      <c r="AE13" s="68">
        <f t="shared" si="66"/>
        <v>33</v>
      </c>
      <c r="AF13" s="58"/>
      <c r="AG13" s="72"/>
      <c r="AH13" s="73"/>
      <c r="AI13" s="74"/>
      <c r="AJ13" s="75"/>
      <c r="AK13" s="74"/>
      <c r="AL13" s="75"/>
      <c r="AM13" s="61">
        <f t="shared" si="68"/>
        <v>0</v>
      </c>
      <c r="AN13" s="62"/>
      <c r="AO13" s="62"/>
      <c r="AP13" s="63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1"/>
      <c r="BC13" s="31"/>
      <c r="BD13" s="31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D13" s="33"/>
    </row>
    <row r="14" spans="1:108" ht="18.75" customHeight="1">
      <c r="A14" s="65">
        <v>8</v>
      </c>
      <c r="B14" s="65"/>
      <c r="C14" s="66" t="s">
        <v>80</v>
      </c>
      <c r="D14" s="66"/>
      <c r="E14" s="66"/>
      <c r="F14" s="66"/>
      <c r="G14" s="66"/>
      <c r="H14" s="69" t="s">
        <v>83</v>
      </c>
      <c r="I14" s="70"/>
      <c r="J14" s="70"/>
      <c r="K14" s="70"/>
      <c r="L14" s="70"/>
      <c r="M14" s="70"/>
      <c r="N14" s="70"/>
      <c r="O14" s="71"/>
      <c r="P14" s="69" t="s">
        <v>39</v>
      </c>
      <c r="Q14" s="70"/>
      <c r="R14" s="71"/>
      <c r="S14" s="67">
        <v>45884</v>
      </c>
      <c r="T14" s="67"/>
      <c r="U14" s="67"/>
      <c r="V14" s="67">
        <v>45889</v>
      </c>
      <c r="W14" s="67"/>
      <c r="X14" s="67"/>
      <c r="Y14" s="67"/>
      <c r="Z14" s="67"/>
      <c r="AA14" s="67"/>
      <c r="AB14" s="67"/>
      <c r="AC14" s="67"/>
      <c r="AD14" s="67"/>
      <c r="AE14" s="68">
        <f t="shared" si="66"/>
        <v>44</v>
      </c>
      <c r="AF14" s="58"/>
      <c r="AG14" s="72"/>
      <c r="AH14" s="73"/>
      <c r="AI14" s="74"/>
      <c r="AJ14" s="75"/>
      <c r="AK14" s="74"/>
      <c r="AL14" s="75"/>
      <c r="AM14" s="61">
        <f t="shared" si="68"/>
        <v>0</v>
      </c>
      <c r="AN14" s="62"/>
      <c r="AO14" s="62"/>
      <c r="AP14" s="63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31"/>
      <c r="BF14" s="4"/>
      <c r="BG14" s="4"/>
      <c r="BH14" s="31"/>
      <c r="BI14" s="31"/>
      <c r="BJ14" s="31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D14" s="33"/>
    </row>
    <row r="15" spans="1:108" ht="18.75" customHeight="1">
      <c r="A15" s="65">
        <v>9</v>
      </c>
      <c r="B15" s="65"/>
      <c r="C15" s="66" t="s">
        <v>80</v>
      </c>
      <c r="D15" s="66"/>
      <c r="E15" s="66"/>
      <c r="F15" s="66"/>
      <c r="G15" s="66"/>
      <c r="H15" s="69" t="s">
        <v>84</v>
      </c>
      <c r="I15" s="70"/>
      <c r="J15" s="70"/>
      <c r="K15" s="70"/>
      <c r="L15" s="70"/>
      <c r="M15" s="70"/>
      <c r="N15" s="70"/>
      <c r="O15" s="71"/>
      <c r="P15" s="69" t="s">
        <v>39</v>
      </c>
      <c r="Q15" s="70"/>
      <c r="R15" s="71"/>
      <c r="S15" s="67">
        <v>45890</v>
      </c>
      <c r="T15" s="67"/>
      <c r="U15" s="67"/>
      <c r="V15" s="67">
        <v>45895</v>
      </c>
      <c r="W15" s="67"/>
      <c r="X15" s="67"/>
      <c r="Y15" s="67"/>
      <c r="Z15" s="67"/>
      <c r="AA15" s="67"/>
      <c r="AB15" s="67"/>
      <c r="AC15" s="67"/>
      <c r="AD15" s="67"/>
      <c r="AE15" s="68">
        <f t="shared" si="66"/>
        <v>33</v>
      </c>
      <c r="AF15" s="58"/>
      <c r="AG15" s="72"/>
      <c r="AH15" s="73"/>
      <c r="AI15" s="74"/>
      <c r="AJ15" s="75"/>
      <c r="AK15" s="74"/>
      <c r="AL15" s="75"/>
      <c r="AM15" s="61">
        <f t="shared" si="68"/>
        <v>0</v>
      </c>
      <c r="AN15" s="62"/>
      <c r="AO15" s="62"/>
      <c r="AP15" s="63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31"/>
      <c r="BL15" s="31"/>
      <c r="BM15" s="4"/>
      <c r="BN15" s="4"/>
      <c r="BO15" s="4"/>
      <c r="BP15" s="31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D15" s="33"/>
    </row>
    <row r="16" spans="1:108" ht="18.75" customHeight="1">
      <c r="A16" s="65">
        <v>10</v>
      </c>
      <c r="B16" s="65"/>
      <c r="C16" s="66" t="s">
        <v>80</v>
      </c>
      <c r="D16" s="66"/>
      <c r="E16" s="66"/>
      <c r="F16" s="66"/>
      <c r="G16" s="66"/>
      <c r="H16" s="69" t="s">
        <v>85</v>
      </c>
      <c r="I16" s="70"/>
      <c r="J16" s="70"/>
      <c r="K16" s="70"/>
      <c r="L16" s="70"/>
      <c r="M16" s="70"/>
      <c r="N16" s="70"/>
      <c r="O16" s="71"/>
      <c r="P16" s="133" t="s">
        <v>38</v>
      </c>
      <c r="Q16" s="134"/>
      <c r="R16" s="135"/>
      <c r="S16" s="67">
        <v>45891</v>
      </c>
      <c r="T16" s="67"/>
      <c r="U16" s="67"/>
      <c r="V16" s="67">
        <v>45898</v>
      </c>
      <c r="W16" s="67"/>
      <c r="X16" s="67"/>
      <c r="Y16" s="67"/>
      <c r="Z16" s="67"/>
      <c r="AA16" s="67"/>
      <c r="AB16" s="67"/>
      <c r="AC16" s="67"/>
      <c r="AD16" s="67"/>
      <c r="AE16" s="68">
        <f t="shared" si="66"/>
        <v>55</v>
      </c>
      <c r="AF16" s="58"/>
      <c r="AG16" s="72"/>
      <c r="AH16" s="73"/>
      <c r="AI16" s="74"/>
      <c r="AJ16" s="75"/>
      <c r="AK16" s="74"/>
      <c r="AL16" s="75"/>
      <c r="AM16" s="61">
        <f t="shared" si="68"/>
        <v>0</v>
      </c>
      <c r="AN16" s="62"/>
      <c r="AO16" s="62"/>
      <c r="AP16" s="63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9"/>
      <c r="BM16" s="4"/>
      <c r="BN16" s="4"/>
      <c r="BO16" s="4"/>
      <c r="BP16" s="29"/>
      <c r="BQ16" s="29"/>
      <c r="BR16" s="29"/>
      <c r="BS16" s="29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D16" s="33"/>
    </row>
    <row r="17" spans="1:108" ht="18.75" customHeight="1">
      <c r="A17" s="65">
        <v>11</v>
      </c>
      <c r="B17" s="65"/>
      <c r="C17" s="66" t="s">
        <v>80</v>
      </c>
      <c r="D17" s="66"/>
      <c r="E17" s="66"/>
      <c r="F17" s="66"/>
      <c r="G17" s="66"/>
      <c r="H17" s="69" t="s">
        <v>86</v>
      </c>
      <c r="I17" s="70"/>
      <c r="J17" s="70"/>
      <c r="K17" s="70"/>
      <c r="L17" s="70"/>
      <c r="M17" s="70"/>
      <c r="N17" s="70"/>
      <c r="O17" s="71"/>
      <c r="P17" s="133" t="s">
        <v>38</v>
      </c>
      <c r="Q17" s="134"/>
      <c r="R17" s="135"/>
      <c r="S17" s="67">
        <v>45901</v>
      </c>
      <c r="T17" s="67"/>
      <c r="U17" s="67"/>
      <c r="V17" s="67">
        <v>45901</v>
      </c>
      <c r="W17" s="67"/>
      <c r="X17" s="67"/>
      <c r="Y17" s="67"/>
      <c r="Z17" s="67"/>
      <c r="AA17" s="67"/>
      <c r="AB17" s="67"/>
      <c r="AC17" s="67"/>
      <c r="AD17" s="67"/>
      <c r="AE17" s="68">
        <f t="shared" si="66"/>
        <v>11</v>
      </c>
      <c r="AF17" s="58"/>
      <c r="AG17" s="72"/>
      <c r="AH17" s="73"/>
      <c r="AI17" s="74"/>
      <c r="AJ17" s="75"/>
      <c r="AK17" s="74"/>
      <c r="AL17" s="75"/>
      <c r="AM17" s="61">
        <f t="shared" si="68"/>
        <v>0</v>
      </c>
      <c r="AN17" s="62"/>
      <c r="AO17" s="62"/>
      <c r="AP17" s="63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29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D17" s="33"/>
    </row>
    <row r="18" spans="1:108" ht="18.75" customHeight="1">
      <c r="A18" s="65">
        <v>12</v>
      </c>
      <c r="B18" s="65"/>
      <c r="C18" s="66" t="s">
        <v>80</v>
      </c>
      <c r="D18" s="66"/>
      <c r="E18" s="66"/>
      <c r="F18" s="66"/>
      <c r="G18" s="66"/>
      <c r="H18" s="69" t="s">
        <v>87</v>
      </c>
      <c r="I18" s="70"/>
      <c r="J18" s="70"/>
      <c r="K18" s="70"/>
      <c r="L18" s="70"/>
      <c r="M18" s="70"/>
      <c r="N18" s="70"/>
      <c r="O18" s="71"/>
      <c r="P18" s="69" t="s">
        <v>39</v>
      </c>
      <c r="Q18" s="70"/>
      <c r="R18" s="71"/>
      <c r="S18" s="67">
        <v>45896</v>
      </c>
      <c r="T18" s="67"/>
      <c r="U18" s="67"/>
      <c r="V18" s="67">
        <v>45901</v>
      </c>
      <c r="W18" s="67"/>
      <c r="X18" s="67"/>
      <c r="Y18" s="67"/>
      <c r="Z18" s="67"/>
      <c r="AA18" s="67"/>
      <c r="AB18" s="67"/>
      <c r="AC18" s="67"/>
      <c r="AD18" s="67"/>
      <c r="AE18" s="68">
        <f t="shared" si="66"/>
        <v>44</v>
      </c>
      <c r="AF18" s="58"/>
      <c r="AG18" s="72"/>
      <c r="AH18" s="73"/>
      <c r="AI18" s="74"/>
      <c r="AJ18" s="75"/>
      <c r="AK18" s="74"/>
      <c r="AL18" s="75"/>
      <c r="AM18" s="61">
        <f t="shared" si="68"/>
        <v>0</v>
      </c>
      <c r="AN18" s="62"/>
      <c r="AO18" s="62"/>
      <c r="AP18" s="63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31"/>
      <c r="BR18" s="31"/>
      <c r="BS18" s="31"/>
      <c r="BT18" s="4"/>
      <c r="BU18" s="4"/>
      <c r="BV18" s="31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D18" s="33"/>
    </row>
    <row r="19" spans="1:108" ht="18.75" customHeight="1">
      <c r="A19" s="65"/>
      <c r="B19" s="65"/>
      <c r="C19" s="66"/>
      <c r="D19" s="66"/>
      <c r="E19" s="66"/>
      <c r="F19" s="66"/>
      <c r="G19" s="66"/>
      <c r="H19" s="69"/>
      <c r="I19" s="70"/>
      <c r="J19" s="70"/>
      <c r="K19" s="70"/>
      <c r="L19" s="70"/>
      <c r="M19" s="70"/>
      <c r="N19" s="70"/>
      <c r="O19" s="71"/>
      <c r="P19" s="69"/>
      <c r="Q19" s="70"/>
      <c r="R19" s="71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8"/>
      <c r="AF19" s="58"/>
      <c r="AG19" s="57"/>
      <c r="AH19" s="58"/>
      <c r="AI19" s="59"/>
      <c r="AJ19" s="60"/>
      <c r="AK19" s="59"/>
      <c r="AL19" s="60"/>
      <c r="AM19" s="61">
        <f t="shared" si="68"/>
        <v>0</v>
      </c>
      <c r="AN19" s="62"/>
      <c r="AO19" s="62"/>
      <c r="AP19" s="63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D19" s="33"/>
    </row>
    <row r="20" spans="1:108" ht="18.75" customHeight="1">
      <c r="A20" s="65"/>
      <c r="B20" s="65"/>
      <c r="C20" s="66"/>
      <c r="D20" s="66"/>
      <c r="E20" s="66"/>
      <c r="F20" s="66"/>
      <c r="G20" s="66"/>
      <c r="H20" s="69"/>
      <c r="I20" s="70"/>
      <c r="J20" s="70"/>
      <c r="K20" s="70"/>
      <c r="L20" s="70"/>
      <c r="M20" s="70"/>
      <c r="N20" s="70"/>
      <c r="O20" s="71"/>
      <c r="P20" s="69"/>
      <c r="Q20" s="70"/>
      <c r="R20" s="71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8"/>
      <c r="AF20" s="58"/>
      <c r="AG20" s="57"/>
      <c r="AH20" s="58"/>
      <c r="AI20" s="59"/>
      <c r="AJ20" s="60"/>
      <c r="AK20" s="59"/>
      <c r="AL20" s="60"/>
      <c r="AM20" s="61">
        <f t="shared" si="68"/>
        <v>0</v>
      </c>
      <c r="AN20" s="62"/>
      <c r="AO20" s="62"/>
      <c r="AP20" s="63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D20" s="33"/>
    </row>
    <row r="21" spans="1:108" ht="18.75" customHeight="1">
      <c r="A21" s="65"/>
      <c r="B21" s="65"/>
      <c r="C21" s="66"/>
      <c r="D21" s="66"/>
      <c r="E21" s="66"/>
      <c r="F21" s="66"/>
      <c r="G21" s="66"/>
      <c r="H21" s="69"/>
      <c r="I21" s="70"/>
      <c r="J21" s="70"/>
      <c r="K21" s="70"/>
      <c r="L21" s="70"/>
      <c r="M21" s="70"/>
      <c r="N21" s="70"/>
      <c r="O21" s="71"/>
      <c r="P21" s="69"/>
      <c r="Q21" s="70"/>
      <c r="R21" s="71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8"/>
      <c r="AF21" s="58"/>
      <c r="AG21" s="57"/>
      <c r="AH21" s="58"/>
      <c r="AI21" s="59"/>
      <c r="AJ21" s="60"/>
      <c r="AK21" s="59"/>
      <c r="AL21" s="60"/>
      <c r="AM21" s="61">
        <f t="shared" si="68"/>
        <v>0</v>
      </c>
      <c r="AN21" s="62"/>
      <c r="AO21" s="62"/>
      <c r="AP21" s="63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D21" s="33"/>
    </row>
    <row r="22" spans="1:108" ht="18.75" customHeight="1">
      <c r="A22" s="65"/>
      <c r="B22" s="65"/>
      <c r="C22" s="66"/>
      <c r="D22" s="66"/>
      <c r="E22" s="66"/>
      <c r="F22" s="66"/>
      <c r="G22" s="66"/>
      <c r="H22" s="69"/>
      <c r="I22" s="70"/>
      <c r="J22" s="70"/>
      <c r="K22" s="70"/>
      <c r="L22" s="70"/>
      <c r="M22" s="70"/>
      <c r="N22" s="70"/>
      <c r="O22" s="71"/>
      <c r="P22" s="69"/>
      <c r="Q22" s="70"/>
      <c r="R22" s="71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8"/>
      <c r="AF22" s="58"/>
      <c r="AG22" s="57"/>
      <c r="AH22" s="58"/>
      <c r="AI22" s="59"/>
      <c r="AJ22" s="60"/>
      <c r="AK22" s="59"/>
      <c r="AL22" s="60"/>
      <c r="AM22" s="61">
        <f t="shared" si="68"/>
        <v>0</v>
      </c>
      <c r="AN22" s="62"/>
      <c r="AO22" s="62"/>
      <c r="AP22" s="63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D22" s="33"/>
    </row>
    <row r="23" spans="1:108" ht="18.75" customHeight="1">
      <c r="A23" s="65"/>
      <c r="B23" s="65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8"/>
      <c r="AF23" s="58"/>
      <c r="AG23" s="57"/>
      <c r="AH23" s="58"/>
      <c r="AI23" s="59"/>
      <c r="AJ23" s="60"/>
      <c r="AK23" s="59"/>
      <c r="AL23" s="60"/>
      <c r="AM23" s="61">
        <f t="shared" si="68"/>
        <v>0</v>
      </c>
      <c r="AN23" s="62"/>
      <c r="AO23" s="62"/>
      <c r="AP23" s="63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D23" s="33"/>
    </row>
    <row r="24" spans="1:108" ht="18.75" customHeight="1">
      <c r="A24" s="65"/>
      <c r="B24" s="65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8"/>
      <c r="AF24" s="58"/>
      <c r="AG24" s="57"/>
      <c r="AH24" s="58"/>
      <c r="AI24" s="59"/>
      <c r="AJ24" s="60"/>
      <c r="AK24" s="59"/>
      <c r="AL24" s="60"/>
      <c r="AM24" s="61">
        <f t="shared" si="68"/>
        <v>0</v>
      </c>
      <c r="AN24" s="62"/>
      <c r="AO24" s="62"/>
      <c r="AP24" s="63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D24" s="33"/>
    </row>
    <row r="25" spans="1:108" ht="18.75" customHeight="1">
      <c r="A25" s="65"/>
      <c r="B25" s="65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8"/>
      <c r="AF25" s="58"/>
      <c r="AG25" s="57"/>
      <c r="AH25" s="58"/>
      <c r="AI25" s="59"/>
      <c r="AJ25" s="60"/>
      <c r="AK25" s="59"/>
      <c r="AL25" s="60"/>
      <c r="AM25" s="61">
        <f t="shared" si="68"/>
        <v>0</v>
      </c>
      <c r="AN25" s="62"/>
      <c r="AO25" s="62"/>
      <c r="AP25" s="63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D25" s="33"/>
    </row>
    <row r="26" spans="1:108" ht="18.75" customHeight="1">
      <c r="A26" s="65"/>
      <c r="B26" s="65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8"/>
      <c r="AF26" s="58"/>
      <c r="AG26" s="57"/>
      <c r="AH26" s="58"/>
      <c r="AI26" s="59"/>
      <c r="AJ26" s="60"/>
      <c r="AK26" s="59"/>
      <c r="AL26" s="60"/>
      <c r="AM26" s="61">
        <f t="shared" si="68"/>
        <v>0</v>
      </c>
      <c r="AN26" s="62"/>
      <c r="AO26" s="62"/>
      <c r="AP26" s="63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D26" s="33"/>
    </row>
    <row r="27" spans="1:108" ht="18.75" customHeight="1">
      <c r="A27" s="65"/>
      <c r="B27" s="65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8"/>
      <c r="AF27" s="58"/>
      <c r="AG27" s="57"/>
      <c r="AH27" s="58"/>
      <c r="AI27" s="59"/>
      <c r="AJ27" s="60"/>
      <c r="AK27" s="59"/>
      <c r="AL27" s="60"/>
      <c r="AM27" s="61">
        <f t="shared" si="68"/>
        <v>0</v>
      </c>
      <c r="AN27" s="62"/>
      <c r="AO27" s="62"/>
      <c r="AP27" s="63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D27" s="33"/>
    </row>
    <row r="28" spans="1:108" ht="18.75" customHeight="1">
      <c r="A28" s="65"/>
      <c r="B28" s="65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8"/>
      <c r="AF28" s="58"/>
      <c r="AG28" s="57"/>
      <c r="AH28" s="58"/>
      <c r="AI28" s="59"/>
      <c r="AJ28" s="60"/>
      <c r="AK28" s="59"/>
      <c r="AL28" s="60"/>
      <c r="AM28" s="61">
        <f t="shared" si="68"/>
        <v>0</v>
      </c>
      <c r="AN28" s="62"/>
      <c r="AO28" s="62"/>
      <c r="AP28" s="63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D28" s="33"/>
    </row>
    <row r="29" spans="1:108" ht="18.75" customHeight="1">
      <c r="A29" s="65"/>
      <c r="B29" s="65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8"/>
      <c r="AF29" s="58"/>
      <c r="AG29" s="57"/>
      <c r="AH29" s="58"/>
      <c r="AI29" s="59"/>
      <c r="AJ29" s="60"/>
      <c r="AK29" s="59"/>
      <c r="AL29" s="60"/>
      <c r="AM29" s="61">
        <f t="shared" si="68"/>
        <v>0</v>
      </c>
      <c r="AN29" s="62"/>
      <c r="AO29" s="62"/>
      <c r="AP29" s="63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D29" s="33"/>
    </row>
    <row r="30" spans="1:108" ht="18.75" customHeight="1">
      <c r="A30" s="65"/>
      <c r="B30" s="65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8"/>
      <c r="AF30" s="58"/>
      <c r="AG30" s="57"/>
      <c r="AH30" s="58"/>
      <c r="AI30" s="59"/>
      <c r="AJ30" s="60"/>
      <c r="AK30" s="59"/>
      <c r="AL30" s="60"/>
      <c r="AM30" s="61">
        <f t="shared" si="68"/>
        <v>0</v>
      </c>
      <c r="AN30" s="62"/>
      <c r="AO30" s="62"/>
      <c r="AP30" s="63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D30" s="33"/>
    </row>
    <row r="31" spans="1:108" ht="18.75" customHeight="1">
      <c r="A31" s="65"/>
      <c r="B31" s="65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8"/>
      <c r="AF31" s="58"/>
      <c r="AG31" s="57"/>
      <c r="AH31" s="58"/>
      <c r="AI31" s="59"/>
      <c r="AJ31" s="60"/>
      <c r="AK31" s="59"/>
      <c r="AL31" s="60"/>
      <c r="AM31" s="61">
        <f t="shared" si="68"/>
        <v>0</v>
      </c>
      <c r="AN31" s="62"/>
      <c r="AO31" s="62"/>
      <c r="AP31" s="63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D31" s="33"/>
    </row>
    <row r="32" spans="1:108" ht="18.75" customHeight="1">
      <c r="A32" s="65"/>
      <c r="B32" s="65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8"/>
      <c r="AF32" s="58"/>
      <c r="AG32" s="57"/>
      <c r="AH32" s="58"/>
      <c r="AI32" s="59"/>
      <c r="AJ32" s="60"/>
      <c r="AK32" s="59"/>
      <c r="AL32" s="60"/>
      <c r="AM32" s="61">
        <f t="shared" si="68"/>
        <v>0</v>
      </c>
      <c r="AN32" s="62"/>
      <c r="AO32" s="62"/>
      <c r="AP32" s="63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D32" s="33"/>
    </row>
    <row r="33" spans="1:108" ht="18.75" customHeight="1">
      <c r="A33" s="65"/>
      <c r="B33" s="65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8"/>
      <c r="AF33" s="58"/>
      <c r="AG33" s="57"/>
      <c r="AH33" s="58"/>
      <c r="AI33" s="59"/>
      <c r="AJ33" s="60"/>
      <c r="AK33" s="59"/>
      <c r="AL33" s="60"/>
      <c r="AM33" s="61">
        <f t="shared" si="68"/>
        <v>0</v>
      </c>
      <c r="AN33" s="62"/>
      <c r="AO33" s="62"/>
      <c r="AP33" s="63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D33" s="33"/>
    </row>
    <row r="34" spans="1:108" ht="18.75" customHeight="1">
      <c r="A34" s="65"/>
      <c r="B34" s="65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8"/>
      <c r="AF34" s="58"/>
      <c r="AG34" s="57"/>
      <c r="AH34" s="58"/>
      <c r="AI34" s="59"/>
      <c r="AJ34" s="60"/>
      <c r="AK34" s="59"/>
      <c r="AL34" s="60"/>
      <c r="AM34" s="61">
        <f t="shared" si="68"/>
        <v>0</v>
      </c>
      <c r="AN34" s="62"/>
      <c r="AO34" s="62"/>
      <c r="AP34" s="63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D34" s="33"/>
    </row>
    <row r="35" spans="1:108" ht="18.75" customHeight="1">
      <c r="A35" s="65"/>
      <c r="B35" s="65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8"/>
      <c r="AF35" s="58"/>
      <c r="AG35" s="57"/>
      <c r="AH35" s="58"/>
      <c r="AI35" s="59"/>
      <c r="AJ35" s="60"/>
      <c r="AK35" s="59"/>
      <c r="AL35" s="60"/>
      <c r="AM35" s="61">
        <f t="shared" si="68"/>
        <v>0</v>
      </c>
      <c r="AN35" s="62"/>
      <c r="AO35" s="62"/>
      <c r="AP35" s="63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D35" s="33"/>
    </row>
    <row r="36" spans="1:108" ht="18.75" customHeight="1">
      <c r="AM36" s="64">
        <f>SUM(AM8:AP35)</f>
        <v>0</v>
      </c>
      <c r="AN36" s="64"/>
      <c r="AO36" s="64"/>
      <c r="AP36" s="64"/>
      <c r="AQ36" s="1" t="s">
        <v>27</v>
      </c>
    </row>
    <row r="37" spans="1:108" ht="18.75" customHeight="1"/>
    <row r="38" spans="1:108" ht="18.75" customHeight="1"/>
    <row r="39" spans="1:108" ht="18.75" customHeight="1"/>
    <row r="40" spans="1:108" ht="18.75" customHeight="1"/>
    <row r="41" spans="1:108" ht="18.75" customHeight="1"/>
    <row r="42" spans="1:108" ht="18.75" customHeight="1"/>
  </sheetData>
  <mergeCells count="408">
    <mergeCell ref="AM12:AP12"/>
    <mergeCell ref="C9:G9"/>
    <mergeCell ref="C11:G11"/>
    <mergeCell ref="AM36:AP36"/>
    <mergeCell ref="A12:B12"/>
    <mergeCell ref="C12:G12"/>
    <mergeCell ref="P12:R12"/>
    <mergeCell ref="S12:U12"/>
    <mergeCell ref="V12:X12"/>
    <mergeCell ref="Y12:AA12"/>
    <mergeCell ref="AB12:AD12"/>
    <mergeCell ref="AE12:AF12"/>
    <mergeCell ref="AG12:AH12"/>
    <mergeCell ref="AI10:AJ10"/>
    <mergeCell ref="AK10:AL10"/>
    <mergeCell ref="AM10:AP10"/>
    <mergeCell ref="A11:B11"/>
    <mergeCell ref="P11:R11"/>
    <mergeCell ref="S11:U11"/>
    <mergeCell ref="V11:X11"/>
    <mergeCell ref="Y11:AA11"/>
    <mergeCell ref="AB11:AD11"/>
    <mergeCell ref="AI11:AJ11"/>
    <mergeCell ref="AK11:AL11"/>
    <mergeCell ref="AM11:AP11"/>
    <mergeCell ref="A10:B10"/>
    <mergeCell ref="H10:O10"/>
    <mergeCell ref="P10:R10"/>
    <mergeCell ref="S10:U10"/>
    <mergeCell ref="V10:X10"/>
    <mergeCell ref="Y10:AA10"/>
    <mergeCell ref="AB10:AD10"/>
    <mergeCell ref="AE10:AF10"/>
    <mergeCell ref="AG10:AH10"/>
    <mergeCell ref="H11:O11"/>
    <mergeCell ref="C7:G7"/>
    <mergeCell ref="C8:G8"/>
    <mergeCell ref="C13:G13"/>
    <mergeCell ref="C10:G10"/>
    <mergeCell ref="Y35:AA35"/>
    <mergeCell ref="AB35:AD35"/>
    <mergeCell ref="AE29:AF29"/>
    <mergeCell ref="Y34:AA34"/>
    <mergeCell ref="AB34:AD34"/>
    <mergeCell ref="C33:G33"/>
    <mergeCell ref="H29:O29"/>
    <mergeCell ref="P29:R29"/>
    <mergeCell ref="S29:U29"/>
    <mergeCell ref="V29:X29"/>
    <mergeCell ref="C30:G30"/>
    <mergeCell ref="C29:G29"/>
    <mergeCell ref="AE30:AF30"/>
    <mergeCell ref="AE31:AF31"/>
    <mergeCell ref="AE32:AF32"/>
    <mergeCell ref="AE33:AF33"/>
    <mergeCell ref="Y32:AA32"/>
    <mergeCell ref="AB32:AD32"/>
    <mergeCell ref="Y33:AA33"/>
    <mergeCell ref="AB33:AD33"/>
    <mergeCell ref="Y29:AA29"/>
    <mergeCell ref="AB29:AD29"/>
    <mergeCell ref="Y30:AA30"/>
    <mergeCell ref="AB30:AD30"/>
    <mergeCell ref="A32:B32"/>
    <mergeCell ref="C32:G32"/>
    <mergeCell ref="A33:B33"/>
    <mergeCell ref="H33:O33"/>
    <mergeCell ref="P33:R33"/>
    <mergeCell ref="S33:U33"/>
    <mergeCell ref="V33:X33"/>
    <mergeCell ref="A31:B31"/>
    <mergeCell ref="C31:G31"/>
    <mergeCell ref="H31:O31"/>
    <mergeCell ref="P31:R31"/>
    <mergeCell ref="S31:U31"/>
    <mergeCell ref="V31:X31"/>
    <mergeCell ref="H32:O32"/>
    <mergeCell ref="P32:R32"/>
    <mergeCell ref="S32:U32"/>
    <mergeCell ref="V32:X32"/>
    <mergeCell ref="Y31:AA31"/>
    <mergeCell ref="AB31:AD31"/>
    <mergeCell ref="A35:B35"/>
    <mergeCell ref="C35:G35"/>
    <mergeCell ref="H35:O35"/>
    <mergeCell ref="P35:R35"/>
    <mergeCell ref="S35:U35"/>
    <mergeCell ref="V35:X35"/>
    <mergeCell ref="A34:B34"/>
    <mergeCell ref="C34:G34"/>
    <mergeCell ref="H34:O34"/>
    <mergeCell ref="P34:R34"/>
    <mergeCell ref="S34:U34"/>
    <mergeCell ref="V34:X34"/>
    <mergeCell ref="C28:G28"/>
    <mergeCell ref="A30:B30"/>
    <mergeCell ref="H30:O30"/>
    <mergeCell ref="P30:R30"/>
    <mergeCell ref="S30:U30"/>
    <mergeCell ref="V30:X30"/>
    <mergeCell ref="A29:B29"/>
    <mergeCell ref="C27:G27"/>
    <mergeCell ref="AG25:AH25"/>
    <mergeCell ref="AE26:AF26"/>
    <mergeCell ref="AG26:AH26"/>
    <mergeCell ref="A28:B28"/>
    <mergeCell ref="H28:O28"/>
    <mergeCell ref="P28:R28"/>
    <mergeCell ref="S28:U28"/>
    <mergeCell ref="V28:X28"/>
    <mergeCell ref="A27:B27"/>
    <mergeCell ref="Y27:AA27"/>
    <mergeCell ref="C25:G25"/>
    <mergeCell ref="AE27:AF27"/>
    <mergeCell ref="AG27:AH27"/>
    <mergeCell ref="AE28:AF28"/>
    <mergeCell ref="AG28:AH28"/>
    <mergeCell ref="H27:O27"/>
    <mergeCell ref="P27:R27"/>
    <mergeCell ref="S27:U27"/>
    <mergeCell ref="V27:X27"/>
    <mergeCell ref="AB27:AD27"/>
    <mergeCell ref="Y28:AA28"/>
    <mergeCell ref="AB28:AD28"/>
    <mergeCell ref="Y23:AA23"/>
    <mergeCell ref="AB23:AD23"/>
    <mergeCell ref="Y24:AA24"/>
    <mergeCell ref="AB24:AD24"/>
    <mergeCell ref="S24:U24"/>
    <mergeCell ref="V24:X24"/>
    <mergeCell ref="Y25:AA25"/>
    <mergeCell ref="AB25:AD25"/>
    <mergeCell ref="Y26:AA26"/>
    <mergeCell ref="AB26:AD26"/>
    <mergeCell ref="AE24:AF24"/>
    <mergeCell ref="AG24:AH24"/>
    <mergeCell ref="AE25:AF25"/>
    <mergeCell ref="A24:B24"/>
    <mergeCell ref="C24:G24"/>
    <mergeCell ref="H24:O24"/>
    <mergeCell ref="P24:R24"/>
    <mergeCell ref="A26:B26"/>
    <mergeCell ref="C26:G26"/>
    <mergeCell ref="H26:O26"/>
    <mergeCell ref="P26:R26"/>
    <mergeCell ref="S26:U26"/>
    <mergeCell ref="V26:X26"/>
    <mergeCell ref="A25:B25"/>
    <mergeCell ref="H25:O25"/>
    <mergeCell ref="P25:R25"/>
    <mergeCell ref="S25:U25"/>
    <mergeCell ref="V25:X25"/>
    <mergeCell ref="A23:B23"/>
    <mergeCell ref="H23:O23"/>
    <mergeCell ref="P23:R23"/>
    <mergeCell ref="S23:U23"/>
    <mergeCell ref="V23:X23"/>
    <mergeCell ref="C23:G23"/>
    <mergeCell ref="AM19:AP19"/>
    <mergeCell ref="AM20:AP20"/>
    <mergeCell ref="A22:B22"/>
    <mergeCell ref="H22:O22"/>
    <mergeCell ref="P22:R22"/>
    <mergeCell ref="S22:U22"/>
    <mergeCell ref="V22:X22"/>
    <mergeCell ref="A21:B21"/>
    <mergeCell ref="C22:G22"/>
    <mergeCell ref="H21:O21"/>
    <mergeCell ref="P21:R21"/>
    <mergeCell ref="S21:U21"/>
    <mergeCell ref="V21:X21"/>
    <mergeCell ref="C21:G21"/>
    <mergeCell ref="Y21:AA21"/>
    <mergeCell ref="AB21:AD21"/>
    <mergeCell ref="Y22:AA22"/>
    <mergeCell ref="AB22:AD22"/>
    <mergeCell ref="A20:B20"/>
    <mergeCell ref="C20:G20"/>
    <mergeCell ref="H20:O20"/>
    <mergeCell ref="P20:R20"/>
    <mergeCell ref="S20:U20"/>
    <mergeCell ref="V20:X20"/>
    <mergeCell ref="A19:B19"/>
    <mergeCell ref="C19:G19"/>
    <mergeCell ref="H19:O19"/>
    <mergeCell ref="P19:R19"/>
    <mergeCell ref="S19:U19"/>
    <mergeCell ref="V19:X19"/>
    <mergeCell ref="Y19:AA19"/>
    <mergeCell ref="AB19:AD19"/>
    <mergeCell ref="Y20:AA20"/>
    <mergeCell ref="AB20:AD20"/>
    <mergeCell ref="AE19:AF19"/>
    <mergeCell ref="AG19:AH19"/>
    <mergeCell ref="AE20:AF20"/>
    <mergeCell ref="AG20:AH20"/>
    <mergeCell ref="AE9:AF9"/>
    <mergeCell ref="AG9:AH9"/>
    <mergeCell ref="AE13:AF13"/>
    <mergeCell ref="AG13:AH13"/>
    <mergeCell ref="Y9:AA9"/>
    <mergeCell ref="AB9:AD9"/>
    <mergeCell ref="Y13:AA13"/>
    <mergeCell ref="AB13:AD13"/>
    <mergeCell ref="AE11:AF11"/>
    <mergeCell ref="AG11:AH11"/>
    <mergeCell ref="AM9:AP9"/>
    <mergeCell ref="AM13:AP13"/>
    <mergeCell ref="A18:B18"/>
    <mergeCell ref="C18:G18"/>
    <mergeCell ref="H18:O18"/>
    <mergeCell ref="P18:R18"/>
    <mergeCell ref="S18:U18"/>
    <mergeCell ref="V18:X18"/>
    <mergeCell ref="Y18:AA18"/>
    <mergeCell ref="AB18:AD18"/>
    <mergeCell ref="AE18:AF18"/>
    <mergeCell ref="AG18:AH18"/>
    <mergeCell ref="AK13:AL13"/>
    <mergeCell ref="AK18:AL18"/>
    <mergeCell ref="A15:B15"/>
    <mergeCell ref="AM18:AP18"/>
    <mergeCell ref="A13:B13"/>
    <mergeCell ref="H13:O13"/>
    <mergeCell ref="P13:R13"/>
    <mergeCell ref="S13:U13"/>
    <mergeCell ref="V13:X13"/>
    <mergeCell ref="A9:B9"/>
    <mergeCell ref="H9:O9"/>
    <mergeCell ref="P9:R9"/>
    <mergeCell ref="S9:U9"/>
    <mergeCell ref="V9:X9"/>
    <mergeCell ref="H1:R2"/>
    <mergeCell ref="A8:B8"/>
    <mergeCell ref="H8:O8"/>
    <mergeCell ref="P8:R8"/>
    <mergeCell ref="S8:U8"/>
    <mergeCell ref="V8:X8"/>
    <mergeCell ref="A7:B7"/>
    <mergeCell ref="H7:O7"/>
    <mergeCell ref="P7:R7"/>
    <mergeCell ref="S7:U7"/>
    <mergeCell ref="V7:X7"/>
    <mergeCell ref="A1:G2"/>
    <mergeCell ref="W1:AC1"/>
    <mergeCell ref="W2:AC2"/>
    <mergeCell ref="S1:V1"/>
    <mergeCell ref="S2:V2"/>
    <mergeCell ref="S5:U6"/>
    <mergeCell ref="V5:X6"/>
    <mergeCell ref="A4:B6"/>
    <mergeCell ref="P4:R6"/>
    <mergeCell ref="S4:X4"/>
    <mergeCell ref="C4:G6"/>
    <mergeCell ref="Y7:AA7"/>
    <mergeCell ref="AB7:AD7"/>
    <mergeCell ref="H4:O6"/>
    <mergeCell ref="Y4:AD4"/>
    <mergeCell ref="Y5:AA6"/>
    <mergeCell ref="AB5:AD6"/>
    <mergeCell ref="AE4:AH4"/>
    <mergeCell ref="AE5:AF6"/>
    <mergeCell ref="AG5:AH6"/>
    <mergeCell ref="AK32:AL32"/>
    <mergeCell ref="AK33:AL33"/>
    <mergeCell ref="AI18:AJ18"/>
    <mergeCell ref="AI19:AJ19"/>
    <mergeCell ref="AI20:AJ20"/>
    <mergeCell ref="AI21:AJ21"/>
    <mergeCell ref="AI22:AJ22"/>
    <mergeCell ref="AI23:AJ23"/>
    <mergeCell ref="AI24:AJ24"/>
    <mergeCell ref="AI25:AJ25"/>
    <mergeCell ref="AI26:AJ26"/>
    <mergeCell ref="AI27:AJ27"/>
    <mergeCell ref="AI28:AJ28"/>
    <mergeCell ref="AI29:AJ29"/>
    <mergeCell ref="AI30:AJ30"/>
    <mergeCell ref="AI31:AJ31"/>
    <mergeCell ref="Y8:AA8"/>
    <mergeCell ref="AG33:AH33"/>
    <mergeCell ref="AE34:AF34"/>
    <mergeCell ref="AG34:AH34"/>
    <mergeCell ref="AE35:AF35"/>
    <mergeCell ref="AG35:AH35"/>
    <mergeCell ref="AK4:AL6"/>
    <mergeCell ref="AK7:AL7"/>
    <mergeCell ref="AK8:AL8"/>
    <mergeCell ref="AK9:AL9"/>
    <mergeCell ref="AI9:AJ9"/>
    <mergeCell ref="AI13:AJ13"/>
    <mergeCell ref="AE21:AF21"/>
    <mergeCell ref="AG21:AH21"/>
    <mergeCell ref="AE22:AF22"/>
    <mergeCell ref="AG22:AH22"/>
    <mergeCell ref="AK22:AL22"/>
    <mergeCell ref="AG29:AH29"/>
    <mergeCell ref="AG30:AH30"/>
    <mergeCell ref="AG31:AH31"/>
    <mergeCell ref="AG32:AH32"/>
    <mergeCell ref="AI32:AJ32"/>
    <mergeCell ref="AI33:AJ33"/>
    <mergeCell ref="AI34:AJ34"/>
    <mergeCell ref="AI35:AJ35"/>
    <mergeCell ref="AD1:AG1"/>
    <mergeCell ref="AD2:AG2"/>
    <mergeCell ref="AK27:AL27"/>
    <mergeCell ref="AK28:AL28"/>
    <mergeCell ref="AK29:AL29"/>
    <mergeCell ref="AK30:AL30"/>
    <mergeCell ref="AK31:AL31"/>
    <mergeCell ref="AK23:AL23"/>
    <mergeCell ref="AK24:AL24"/>
    <mergeCell ref="AK25:AL25"/>
    <mergeCell ref="AK26:AL26"/>
    <mergeCell ref="AI15:AJ15"/>
    <mergeCell ref="AK15:AL15"/>
    <mergeCell ref="AI14:AJ14"/>
    <mergeCell ref="AK14:AL14"/>
    <mergeCell ref="AB8:AD8"/>
    <mergeCell ref="AE7:AF7"/>
    <mergeCell ref="AG7:AH7"/>
    <mergeCell ref="AE8:AF8"/>
    <mergeCell ref="AG8:AH8"/>
    <mergeCell ref="AK19:AL19"/>
    <mergeCell ref="AK20:AL20"/>
    <mergeCell ref="AK21:AL21"/>
    <mergeCell ref="AE23:AF23"/>
    <mergeCell ref="AM25:AP25"/>
    <mergeCell ref="AM26:AP26"/>
    <mergeCell ref="AM27:AP27"/>
    <mergeCell ref="AM28:AP28"/>
    <mergeCell ref="AM29:AP29"/>
    <mergeCell ref="AQ1:AT1"/>
    <mergeCell ref="AU1:BA1"/>
    <mergeCell ref="AQ2:AT2"/>
    <mergeCell ref="AU2:BA2"/>
    <mergeCell ref="AH1:AP1"/>
    <mergeCell ref="AH2:AP2"/>
    <mergeCell ref="AM4:AP6"/>
    <mergeCell ref="AM7:AP7"/>
    <mergeCell ref="AM8:AP8"/>
    <mergeCell ref="AI4:AJ6"/>
    <mergeCell ref="AI7:AJ7"/>
    <mergeCell ref="AI8:AJ8"/>
    <mergeCell ref="AG23:AH23"/>
    <mergeCell ref="AM15:AP15"/>
    <mergeCell ref="AG17:AH17"/>
    <mergeCell ref="AI17:AJ17"/>
    <mergeCell ref="AK17:AL17"/>
    <mergeCell ref="AM17:AP17"/>
    <mergeCell ref="AM30:AP30"/>
    <mergeCell ref="AM31:AP31"/>
    <mergeCell ref="AM32:AP32"/>
    <mergeCell ref="AM33:AP33"/>
    <mergeCell ref="AM34:AP34"/>
    <mergeCell ref="AM35:AP35"/>
    <mergeCell ref="AK34:AL34"/>
    <mergeCell ref="AK35:AL35"/>
    <mergeCell ref="A16:B16"/>
    <mergeCell ref="C16:G16"/>
    <mergeCell ref="P16:R16"/>
    <mergeCell ref="S16:U16"/>
    <mergeCell ref="V16:X16"/>
    <mergeCell ref="Y16:AA16"/>
    <mergeCell ref="AB16:AD16"/>
    <mergeCell ref="AE16:AF16"/>
    <mergeCell ref="AG16:AH16"/>
    <mergeCell ref="AI16:AJ16"/>
    <mergeCell ref="AK16:AL16"/>
    <mergeCell ref="AM16:AP16"/>
    <mergeCell ref="AM21:AP21"/>
    <mergeCell ref="AM22:AP22"/>
    <mergeCell ref="AM23:AP23"/>
    <mergeCell ref="AM24:AP24"/>
    <mergeCell ref="A17:B17"/>
    <mergeCell ref="H17:O17"/>
    <mergeCell ref="P17:R17"/>
    <mergeCell ref="S17:U17"/>
    <mergeCell ref="V17:X17"/>
    <mergeCell ref="Y17:AA17"/>
    <mergeCell ref="AB17:AD17"/>
    <mergeCell ref="AE17:AF17"/>
    <mergeCell ref="C17:G17"/>
    <mergeCell ref="H12:O12"/>
    <mergeCell ref="H15:O15"/>
    <mergeCell ref="H16:O16"/>
    <mergeCell ref="C15:G15"/>
    <mergeCell ref="A14:B14"/>
    <mergeCell ref="C14:G14"/>
    <mergeCell ref="P14:R14"/>
    <mergeCell ref="S14:U14"/>
    <mergeCell ref="AM14:AP14"/>
    <mergeCell ref="H14:O14"/>
    <mergeCell ref="V14:X14"/>
    <mergeCell ref="Y14:AA14"/>
    <mergeCell ref="AB14:AD14"/>
    <mergeCell ref="AE14:AF14"/>
    <mergeCell ref="AG14:AH14"/>
    <mergeCell ref="P15:R15"/>
    <mergeCell ref="S15:U15"/>
    <mergeCell ref="V15:X15"/>
    <mergeCell ref="Y15:AA15"/>
    <mergeCell ref="AB15:AD15"/>
    <mergeCell ref="AE15:AF15"/>
    <mergeCell ref="AG15:AH15"/>
    <mergeCell ref="AI12:AJ12"/>
    <mergeCell ref="AK12:AL12"/>
  </mergeCells>
  <phoneticPr fontId="1"/>
  <conditionalFormatting sqref="AQ5:AQ6">
    <cfRule type="expression" dxfId="11" priority="6">
      <formula>TEXT(AQ5,"aaa")="日"</formula>
    </cfRule>
  </conditionalFormatting>
  <conditionalFormatting sqref="AQ4:DB4">
    <cfRule type="notContainsBlanks" dxfId="10" priority="16">
      <formula>LEN(TRIM(AQ4))&gt;0</formula>
    </cfRule>
  </conditionalFormatting>
  <conditionalFormatting sqref="AQ5:DB6">
    <cfRule type="expression" dxfId="9" priority="7">
      <formula>TEXT(AQ5,"aaa")="土"</formula>
    </cfRule>
  </conditionalFormatting>
  <conditionalFormatting sqref="AR5:DB6">
    <cfRule type="expression" dxfId="8" priority="15">
      <formula>TEXT(AR5,"aaa")="日"</formula>
    </cfRule>
  </conditionalFormatting>
  <pageMargins left="0.19685039370078741" right="0.19685039370078741" top="0.19685039370078741" bottom="0.19685039370078741" header="0.31496062992125984" footer="0.31496062992125984"/>
  <pageSetup paperSize="9" scale="70" orientation="landscape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75024-B4C1-473C-B208-0C78602F8865}">
  <dimension ref="A1:S32"/>
  <sheetViews>
    <sheetView topLeftCell="F1" zoomScale="130" zoomScaleNormal="130" workbookViewId="0">
      <selection activeCell="I4" sqref="I4:I8"/>
    </sheetView>
  </sheetViews>
  <sheetFormatPr baseColWidth="10" defaultColWidth="8.83203125" defaultRowHeight="15"/>
  <cols>
    <col min="3" max="3" width="0" hidden="1" customWidth="1"/>
    <col min="4" max="4" width="3.6640625" customWidth="1"/>
    <col min="5" max="5" width="12.83203125" customWidth="1"/>
    <col min="6" max="7" width="4" customWidth="1"/>
    <col min="8" max="9" width="8.5" customWidth="1"/>
    <col min="11" max="11" width="3.33203125" customWidth="1"/>
    <col min="12" max="12" width="10" bestFit="1" customWidth="1"/>
    <col min="15" max="15" width="9.6640625" bestFit="1" customWidth="1"/>
  </cols>
  <sheetData>
    <row r="1" spans="1:19">
      <c r="A1" t="s">
        <v>112</v>
      </c>
    </row>
    <row r="2" spans="1:19">
      <c r="A2" t="s">
        <v>54</v>
      </c>
    </row>
    <row r="3" spans="1:19">
      <c r="A3" s="16" t="s">
        <v>40</v>
      </c>
      <c r="B3" s="16"/>
      <c r="E3" s="16" t="s">
        <v>28</v>
      </c>
      <c r="J3" s="16" t="s">
        <v>48</v>
      </c>
      <c r="L3" s="17" t="s">
        <v>36</v>
      </c>
      <c r="N3" s="17" t="s">
        <v>1</v>
      </c>
      <c r="O3" s="17" t="s">
        <v>35</v>
      </c>
      <c r="P3" s="24" t="s">
        <v>63</v>
      </c>
    </row>
    <row r="4" spans="1:19" ht="18.5" customHeight="1">
      <c r="A4" t="s">
        <v>19</v>
      </c>
      <c r="B4" t="s">
        <v>41</v>
      </c>
      <c r="C4" s="14" t="s">
        <v>23</v>
      </c>
      <c r="D4" s="14"/>
      <c r="E4">
        <v>6</v>
      </c>
      <c r="F4" t="s">
        <v>47</v>
      </c>
      <c r="H4" s="27" t="s">
        <v>38</v>
      </c>
      <c r="I4">
        <f>E4*8</f>
        <v>48</v>
      </c>
      <c r="J4" t="s">
        <v>37</v>
      </c>
      <c r="L4" t="s">
        <v>38</v>
      </c>
      <c r="N4" s="15">
        <v>45870</v>
      </c>
      <c r="O4" s="15">
        <v>45905</v>
      </c>
      <c r="P4" t="s">
        <v>55</v>
      </c>
    </row>
    <row r="5" spans="1:19">
      <c r="B5" t="s">
        <v>42</v>
      </c>
      <c r="C5" t="s">
        <v>26</v>
      </c>
      <c r="E5">
        <v>3</v>
      </c>
      <c r="F5" t="s">
        <v>47</v>
      </c>
      <c r="H5" s="27" t="s">
        <v>38</v>
      </c>
      <c r="I5">
        <f t="shared" ref="I5:I24" si="0">E5*8</f>
        <v>24</v>
      </c>
      <c r="L5" t="s">
        <v>39</v>
      </c>
    </row>
    <row r="6" spans="1:19" ht="18" customHeight="1">
      <c r="B6" t="s">
        <v>43</v>
      </c>
      <c r="C6" s="14" t="s">
        <v>24</v>
      </c>
      <c r="D6" s="14"/>
      <c r="E6">
        <v>5</v>
      </c>
      <c r="F6" t="s">
        <v>47</v>
      </c>
      <c r="H6" s="27" t="s">
        <v>38</v>
      </c>
      <c r="I6">
        <f t="shared" si="0"/>
        <v>40</v>
      </c>
      <c r="L6" t="s">
        <v>64</v>
      </c>
    </row>
    <row r="7" spans="1:19">
      <c r="B7" t="s">
        <v>44</v>
      </c>
      <c r="E7">
        <v>2</v>
      </c>
      <c r="F7" t="s">
        <v>47</v>
      </c>
      <c r="H7" s="27" t="s">
        <v>38</v>
      </c>
      <c r="I7">
        <f t="shared" si="0"/>
        <v>16</v>
      </c>
    </row>
    <row r="8" spans="1:19">
      <c r="B8" t="s">
        <v>45</v>
      </c>
      <c r="E8">
        <v>3</v>
      </c>
      <c r="F8" t="s">
        <v>47</v>
      </c>
      <c r="H8" s="27" t="s">
        <v>38</v>
      </c>
      <c r="I8">
        <f t="shared" si="0"/>
        <v>24</v>
      </c>
    </row>
    <row r="9" spans="1:19">
      <c r="E9" s="25">
        <f>SUM(E4:E8)</f>
        <v>19</v>
      </c>
      <c r="N9" s="42">
        <v>16</v>
      </c>
      <c r="O9" s="42">
        <v>20</v>
      </c>
      <c r="P9" s="42"/>
      <c r="Q9" s="42">
        <v>22</v>
      </c>
      <c r="R9" s="42">
        <v>24</v>
      </c>
      <c r="S9" s="42" t="s">
        <v>113</v>
      </c>
    </row>
    <row r="10" spans="1:19">
      <c r="N10" s="42">
        <v>3</v>
      </c>
      <c r="O10" s="42">
        <v>3</v>
      </c>
      <c r="P10" s="42"/>
      <c r="Q10" s="42">
        <v>3</v>
      </c>
      <c r="R10" s="42">
        <v>3</v>
      </c>
      <c r="S10" s="42" t="s">
        <v>114</v>
      </c>
    </row>
    <row r="11" spans="1:19">
      <c r="A11" t="s">
        <v>20</v>
      </c>
      <c r="B11" t="s">
        <v>21</v>
      </c>
      <c r="C11" t="s">
        <v>25</v>
      </c>
      <c r="E11">
        <v>3</v>
      </c>
      <c r="F11" t="s">
        <v>47</v>
      </c>
      <c r="H11" t="s">
        <v>39</v>
      </c>
      <c r="I11">
        <f t="shared" si="0"/>
        <v>24</v>
      </c>
      <c r="L11" s="43" t="s">
        <v>117</v>
      </c>
      <c r="N11" s="42">
        <v>11</v>
      </c>
      <c r="O11" s="42">
        <v>9</v>
      </c>
      <c r="P11" s="42"/>
      <c r="Q11" s="42">
        <v>8</v>
      </c>
      <c r="R11" s="42">
        <v>8</v>
      </c>
      <c r="S11" s="42" t="s">
        <v>115</v>
      </c>
    </row>
    <row r="12" spans="1:19">
      <c r="B12" t="s">
        <v>22</v>
      </c>
      <c r="E12">
        <v>4</v>
      </c>
      <c r="F12" t="s">
        <v>47</v>
      </c>
      <c r="H12" t="s">
        <v>39</v>
      </c>
      <c r="I12">
        <f t="shared" si="0"/>
        <v>32</v>
      </c>
      <c r="L12">
        <f>(E9+E18+E25)*8</f>
        <v>528</v>
      </c>
      <c r="M12" t="s">
        <v>116</v>
      </c>
      <c r="N12" s="42">
        <f>N9*N10*N11</f>
        <v>528</v>
      </c>
      <c r="O12" s="42">
        <f>O9*O10*O11</f>
        <v>540</v>
      </c>
      <c r="P12" s="42"/>
      <c r="Q12" s="42">
        <f>Q9*Q10*Q11</f>
        <v>528</v>
      </c>
      <c r="R12" s="42">
        <f>R9*R10*R11</f>
        <v>576</v>
      </c>
      <c r="S12" s="42"/>
    </row>
    <row r="13" spans="1:19">
      <c r="B13" t="s">
        <v>30</v>
      </c>
      <c r="E13">
        <v>6</v>
      </c>
      <c r="F13" t="s">
        <v>47</v>
      </c>
      <c r="H13" t="s">
        <v>39</v>
      </c>
      <c r="I13">
        <f t="shared" si="0"/>
        <v>48</v>
      </c>
    </row>
    <row r="14" spans="1:19">
      <c r="B14" t="s">
        <v>31</v>
      </c>
      <c r="E14">
        <v>2</v>
      </c>
      <c r="F14" t="s">
        <v>47</v>
      </c>
      <c r="H14" s="26" t="s">
        <v>71</v>
      </c>
      <c r="I14">
        <f t="shared" si="0"/>
        <v>16</v>
      </c>
    </row>
    <row r="15" spans="1:19">
      <c r="B15" t="s">
        <v>32</v>
      </c>
      <c r="E15">
        <v>5</v>
      </c>
      <c r="F15" t="s">
        <v>47</v>
      </c>
      <c r="H15" t="s">
        <v>39</v>
      </c>
      <c r="I15">
        <f t="shared" si="0"/>
        <v>40</v>
      </c>
      <c r="N15" t="s">
        <v>118</v>
      </c>
      <c r="P15" t="s">
        <v>123</v>
      </c>
    </row>
    <row r="16" spans="1:19">
      <c r="B16" t="s">
        <v>33</v>
      </c>
      <c r="E16">
        <v>3</v>
      </c>
      <c r="F16" t="s">
        <v>47</v>
      </c>
      <c r="H16" s="27" t="s">
        <v>38</v>
      </c>
      <c r="I16">
        <f t="shared" si="0"/>
        <v>24</v>
      </c>
      <c r="L16" t="s">
        <v>121</v>
      </c>
      <c r="N16" t="s">
        <v>119</v>
      </c>
      <c r="P16" t="s">
        <v>122</v>
      </c>
    </row>
    <row r="17" spans="1:17">
      <c r="B17" t="s">
        <v>34</v>
      </c>
      <c r="E17">
        <v>5</v>
      </c>
      <c r="F17" t="s">
        <v>47</v>
      </c>
      <c r="H17" t="s">
        <v>39</v>
      </c>
      <c r="I17">
        <f t="shared" si="0"/>
        <v>40</v>
      </c>
      <c r="L17">
        <f>500*0.2</f>
        <v>100</v>
      </c>
      <c r="N17" s="21" t="s">
        <v>120</v>
      </c>
      <c r="P17" s="21" t="s">
        <v>123</v>
      </c>
      <c r="Q17" t="s">
        <v>122</v>
      </c>
    </row>
    <row r="18" spans="1:17">
      <c r="E18" s="25">
        <f>SUM(E11:E17)</f>
        <v>28</v>
      </c>
      <c r="N18">
        <v>90</v>
      </c>
    </row>
    <row r="19" spans="1:17">
      <c r="M19" s="22"/>
    </row>
    <row r="20" spans="1:17">
      <c r="A20" t="s">
        <v>65</v>
      </c>
      <c r="B20" t="s">
        <v>66</v>
      </c>
      <c r="E20">
        <v>3</v>
      </c>
      <c r="F20" t="s">
        <v>47</v>
      </c>
      <c r="H20" s="26" t="s">
        <v>71</v>
      </c>
      <c r="I20">
        <f t="shared" si="0"/>
        <v>24</v>
      </c>
      <c r="M20" s="22"/>
    </row>
    <row r="21" spans="1:17">
      <c r="B21" t="s">
        <v>67</v>
      </c>
      <c r="E21">
        <v>6</v>
      </c>
      <c r="F21" t="s">
        <v>47</v>
      </c>
      <c r="H21" s="26" t="s">
        <v>71</v>
      </c>
      <c r="I21">
        <f t="shared" si="0"/>
        <v>48</v>
      </c>
      <c r="L21">
        <f>L22*1.3</f>
        <v>3900</v>
      </c>
      <c r="M21" s="22"/>
    </row>
    <row r="22" spans="1:17">
      <c r="B22" t="s">
        <v>68</v>
      </c>
      <c r="E22">
        <v>2</v>
      </c>
      <c r="F22" t="s">
        <v>47</v>
      </c>
      <c r="H22" s="26" t="s">
        <v>71</v>
      </c>
      <c r="I22">
        <f t="shared" si="0"/>
        <v>16</v>
      </c>
      <c r="L22">
        <v>3000</v>
      </c>
      <c r="M22" s="22"/>
      <c r="N22" t="s">
        <v>124</v>
      </c>
    </row>
    <row r="23" spans="1:17">
      <c r="B23" t="s">
        <v>69</v>
      </c>
      <c r="E23">
        <v>3</v>
      </c>
      <c r="F23" t="s">
        <v>47</v>
      </c>
      <c r="H23" s="26" t="s">
        <v>71</v>
      </c>
      <c r="I23">
        <f t="shared" si="0"/>
        <v>24</v>
      </c>
      <c r="M23" s="22"/>
    </row>
    <row r="24" spans="1:17">
      <c r="B24" t="s">
        <v>70</v>
      </c>
      <c r="E24">
        <v>5</v>
      </c>
      <c r="F24" t="s">
        <v>47</v>
      </c>
      <c r="H24" s="26" t="s">
        <v>71</v>
      </c>
      <c r="I24">
        <f t="shared" si="0"/>
        <v>40</v>
      </c>
      <c r="M24" s="22"/>
    </row>
    <row r="25" spans="1:17">
      <c r="E25" s="25">
        <f>SUM(E20:E24)</f>
        <v>19</v>
      </c>
      <c r="M25" s="22"/>
    </row>
    <row r="26" spans="1:17">
      <c r="M26" s="22"/>
    </row>
    <row r="27" spans="1:17">
      <c r="E27">
        <f>E9+E18+E25</f>
        <v>66</v>
      </c>
      <c r="L27">
        <f>18*3</f>
        <v>54</v>
      </c>
      <c r="M27" s="22" t="s">
        <v>61</v>
      </c>
      <c r="N27" t="s">
        <v>60</v>
      </c>
    </row>
    <row r="28" spans="1:17">
      <c r="M28" s="23" t="s">
        <v>62</v>
      </c>
      <c r="N28" t="s">
        <v>58</v>
      </c>
      <c r="O28" t="s">
        <v>56</v>
      </c>
      <c r="Q28" s="21" t="s">
        <v>57</v>
      </c>
    </row>
    <row r="29" spans="1:17">
      <c r="M29" s="22" t="s">
        <v>61</v>
      </c>
      <c r="N29" t="s">
        <v>59</v>
      </c>
      <c r="O29" t="s">
        <v>56</v>
      </c>
    </row>
    <row r="32" spans="1:17">
      <c r="E32" t="s">
        <v>72</v>
      </c>
      <c r="H32" t="s">
        <v>73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69BC8-B614-4F12-9DD0-CE098485330D}">
  <dimension ref="A1:DD42"/>
  <sheetViews>
    <sheetView showGridLines="0" zoomScale="90" zoomScaleNormal="90" zoomScaleSheetLayoutView="100" workbookViewId="0">
      <selection activeCell="P16" sqref="P16:R16"/>
    </sheetView>
  </sheetViews>
  <sheetFormatPr baseColWidth="10" defaultColWidth="3.33203125" defaultRowHeight="15" customHeight="1"/>
  <cols>
    <col min="1" max="18" width="3.33203125" style="1"/>
    <col min="19" max="30" width="3.83203125" style="1" customWidth="1"/>
    <col min="31" max="34" width="3.33203125" style="1"/>
    <col min="35" max="35" width="3" style="1" customWidth="1"/>
    <col min="36" max="36" width="3.33203125" style="1"/>
    <col min="37" max="37" width="3" style="1" customWidth="1"/>
    <col min="38" max="38" width="3.33203125" style="1"/>
    <col min="39" max="42" width="2.6640625" style="1" customWidth="1"/>
    <col min="43" max="44" width="3.33203125" style="1" customWidth="1"/>
    <col min="45" max="47" width="3.33203125" style="1"/>
    <col min="48" max="48" width="3.33203125" style="1" customWidth="1"/>
    <col min="49" max="16384" width="3.33203125" style="1"/>
  </cols>
  <sheetData>
    <row r="1" spans="1:108" ht="19.5" customHeight="1">
      <c r="A1" s="85" t="s">
        <v>0</v>
      </c>
      <c r="B1" s="95"/>
      <c r="C1" s="95"/>
      <c r="D1" s="95"/>
      <c r="E1" s="95"/>
      <c r="F1" s="95"/>
      <c r="G1" s="95"/>
      <c r="H1" s="112" t="s">
        <v>111</v>
      </c>
      <c r="I1" s="113"/>
      <c r="J1" s="113"/>
      <c r="K1" s="113"/>
      <c r="L1" s="113"/>
      <c r="M1" s="113"/>
      <c r="N1" s="113"/>
      <c r="O1" s="113"/>
      <c r="P1" s="113"/>
      <c r="Q1" s="113"/>
      <c r="R1" s="114"/>
      <c r="S1" s="106" t="s">
        <v>12</v>
      </c>
      <c r="T1" s="107"/>
      <c r="U1" s="107"/>
      <c r="V1" s="108"/>
      <c r="W1" s="109">
        <v>45868</v>
      </c>
      <c r="X1" s="110"/>
      <c r="Y1" s="110"/>
      <c r="Z1" s="110"/>
      <c r="AA1" s="110"/>
      <c r="AB1" s="110"/>
      <c r="AC1" s="111"/>
      <c r="AD1" s="106" t="s">
        <v>10</v>
      </c>
      <c r="AE1" s="107"/>
      <c r="AF1" s="107"/>
      <c r="AG1" s="108"/>
      <c r="AH1" s="103" t="s">
        <v>50</v>
      </c>
      <c r="AI1" s="104"/>
      <c r="AJ1" s="104"/>
      <c r="AK1" s="104"/>
      <c r="AL1" s="104"/>
      <c r="AM1" s="104"/>
      <c r="AN1" s="104"/>
      <c r="AO1" s="104"/>
      <c r="AP1" s="105"/>
      <c r="AQ1" s="100" t="s">
        <v>14</v>
      </c>
      <c r="AR1" s="101"/>
      <c r="AS1" s="101"/>
      <c r="AT1" s="102"/>
      <c r="AU1" s="103">
        <v>45870</v>
      </c>
      <c r="AV1" s="104"/>
      <c r="AW1" s="104"/>
      <c r="AX1" s="104"/>
      <c r="AY1" s="104"/>
      <c r="AZ1" s="104"/>
      <c r="BA1" s="105"/>
    </row>
    <row r="2" spans="1:108" ht="19.5" customHeight="1">
      <c r="A2" s="83"/>
      <c r="B2" s="99"/>
      <c r="C2" s="99"/>
      <c r="D2" s="99"/>
      <c r="E2" s="99"/>
      <c r="F2" s="99"/>
      <c r="G2" s="99"/>
      <c r="H2" s="115"/>
      <c r="I2" s="116"/>
      <c r="J2" s="116"/>
      <c r="K2" s="116"/>
      <c r="L2" s="116"/>
      <c r="M2" s="116"/>
      <c r="N2" s="116"/>
      <c r="O2" s="116"/>
      <c r="P2" s="116"/>
      <c r="Q2" s="116"/>
      <c r="R2" s="117"/>
      <c r="S2" s="106" t="s">
        <v>13</v>
      </c>
      <c r="T2" s="107"/>
      <c r="U2" s="107"/>
      <c r="V2" s="108"/>
      <c r="W2" s="109"/>
      <c r="X2" s="110"/>
      <c r="Y2" s="110"/>
      <c r="Z2" s="110"/>
      <c r="AA2" s="110"/>
      <c r="AB2" s="110"/>
      <c r="AC2" s="111"/>
      <c r="AD2" s="106" t="s">
        <v>11</v>
      </c>
      <c r="AE2" s="107"/>
      <c r="AF2" s="107"/>
      <c r="AG2" s="108"/>
      <c r="AH2" s="103"/>
      <c r="AI2" s="104"/>
      <c r="AJ2" s="104"/>
      <c r="AK2" s="104"/>
      <c r="AL2" s="104"/>
      <c r="AM2" s="104"/>
      <c r="AN2" s="104"/>
      <c r="AO2" s="104"/>
      <c r="AP2" s="105"/>
      <c r="AQ2" s="100" t="s">
        <v>15</v>
      </c>
      <c r="AR2" s="101"/>
      <c r="AS2" s="101"/>
      <c r="AT2" s="102"/>
      <c r="AU2" s="103">
        <v>45916</v>
      </c>
      <c r="AV2" s="104"/>
      <c r="AW2" s="104"/>
      <c r="AX2" s="104"/>
      <c r="AY2" s="104"/>
      <c r="AZ2" s="104"/>
      <c r="BA2" s="105"/>
    </row>
    <row r="3" spans="1:108" ht="15" customHeight="1">
      <c r="AQ3" s="1">
        <v>1</v>
      </c>
      <c r="AT3" s="1">
        <v>1</v>
      </c>
      <c r="AU3" s="1">
        <v>1</v>
      </c>
      <c r="AV3" s="1">
        <v>1</v>
      </c>
      <c r="AW3" s="1">
        <v>1</v>
      </c>
      <c r="AX3" s="1">
        <v>1</v>
      </c>
      <c r="BB3" s="1">
        <v>1</v>
      </c>
      <c r="BC3" s="1">
        <v>1</v>
      </c>
      <c r="BD3" s="1">
        <v>1</v>
      </c>
      <c r="BE3" s="1">
        <v>1</v>
      </c>
      <c r="BH3" s="1">
        <v>1</v>
      </c>
      <c r="BI3" s="1">
        <v>1</v>
      </c>
      <c r="BJ3" s="1">
        <v>1</v>
      </c>
      <c r="BK3" s="1">
        <v>1</v>
      </c>
      <c r="BL3" s="1">
        <v>1</v>
      </c>
      <c r="BP3" s="1">
        <v>1</v>
      </c>
      <c r="BQ3" s="1">
        <v>1</v>
      </c>
      <c r="BR3" s="1">
        <v>1</v>
      </c>
      <c r="BS3" s="1">
        <v>1</v>
      </c>
      <c r="BV3" s="1">
        <v>1</v>
      </c>
      <c r="BW3" s="1">
        <v>1</v>
      </c>
      <c r="BX3" s="1">
        <v>1</v>
      </c>
      <c r="BY3" s="1">
        <v>1</v>
      </c>
      <c r="BZ3" s="1">
        <v>1</v>
      </c>
    </row>
    <row r="4" spans="1:108" ht="19.5" customHeight="1">
      <c r="A4" s="80" t="s">
        <v>3</v>
      </c>
      <c r="B4" s="80"/>
      <c r="C4" s="86" t="s">
        <v>8</v>
      </c>
      <c r="D4" s="87"/>
      <c r="E4" s="87"/>
      <c r="F4" s="87"/>
      <c r="G4" s="88"/>
      <c r="H4" s="85" t="s">
        <v>5</v>
      </c>
      <c r="I4" s="95"/>
      <c r="J4" s="95"/>
      <c r="K4" s="95"/>
      <c r="L4" s="95"/>
      <c r="M4" s="95"/>
      <c r="N4" s="95"/>
      <c r="O4" s="82"/>
      <c r="P4" s="80" t="s">
        <v>4</v>
      </c>
      <c r="Q4" s="80"/>
      <c r="R4" s="80"/>
      <c r="S4" s="79" t="s">
        <v>6</v>
      </c>
      <c r="T4" s="79"/>
      <c r="U4" s="79"/>
      <c r="V4" s="79"/>
      <c r="W4" s="79"/>
      <c r="X4" s="79"/>
      <c r="Y4" s="80" t="s">
        <v>7</v>
      </c>
      <c r="Z4" s="80"/>
      <c r="AA4" s="80"/>
      <c r="AB4" s="80"/>
      <c r="AC4" s="80"/>
      <c r="AD4" s="80"/>
      <c r="AE4" s="100" t="s">
        <v>18</v>
      </c>
      <c r="AF4" s="101"/>
      <c r="AG4" s="101"/>
      <c r="AH4" s="102"/>
      <c r="AI4" s="118" t="s">
        <v>16</v>
      </c>
      <c r="AJ4" s="119"/>
      <c r="AK4" s="124" t="s">
        <v>17</v>
      </c>
      <c r="AL4" s="125"/>
      <c r="AM4" s="124" t="s">
        <v>29</v>
      </c>
      <c r="AN4" s="130"/>
      <c r="AO4" s="130"/>
      <c r="AP4" s="125"/>
      <c r="AQ4" s="7">
        <f>AU1</f>
        <v>45870</v>
      </c>
      <c r="AR4" s="8" t="str">
        <f>IF(DAY(AR5)=1,AR5,"")</f>
        <v/>
      </c>
      <c r="AS4" s="8" t="str">
        <f t="shared" ref="AS4:DB4" si="0">IF(DAY(AS5)=1,AS5,"")</f>
        <v/>
      </c>
      <c r="AT4" s="8" t="str">
        <f t="shared" si="0"/>
        <v/>
      </c>
      <c r="AU4" s="8"/>
      <c r="AV4" s="8" t="str">
        <f t="shared" si="0"/>
        <v/>
      </c>
      <c r="AW4" s="8" t="str">
        <f t="shared" si="0"/>
        <v/>
      </c>
      <c r="AX4" s="8" t="str">
        <f t="shared" si="0"/>
        <v/>
      </c>
      <c r="AY4" s="8" t="str">
        <f t="shared" si="0"/>
        <v/>
      </c>
      <c r="AZ4" s="8" t="str">
        <f t="shared" si="0"/>
        <v/>
      </c>
      <c r="BA4" s="8" t="str">
        <f t="shared" si="0"/>
        <v/>
      </c>
      <c r="BB4" s="8" t="str">
        <f t="shared" si="0"/>
        <v/>
      </c>
      <c r="BC4" s="8" t="str">
        <f t="shared" si="0"/>
        <v/>
      </c>
      <c r="BD4" s="8" t="str">
        <f t="shared" si="0"/>
        <v/>
      </c>
      <c r="BE4" s="8" t="str">
        <f t="shared" si="0"/>
        <v/>
      </c>
      <c r="BF4" s="8" t="str">
        <f t="shared" si="0"/>
        <v/>
      </c>
      <c r="BG4" s="8" t="str">
        <f t="shared" si="0"/>
        <v/>
      </c>
      <c r="BH4" s="8" t="str">
        <f t="shared" si="0"/>
        <v/>
      </c>
      <c r="BI4" s="8" t="str">
        <f t="shared" si="0"/>
        <v/>
      </c>
      <c r="BJ4" s="8" t="str">
        <f t="shared" si="0"/>
        <v/>
      </c>
      <c r="BK4" s="8" t="str">
        <f t="shared" si="0"/>
        <v/>
      </c>
      <c r="BL4" s="8" t="str">
        <f t="shared" si="0"/>
        <v/>
      </c>
      <c r="BM4" s="8" t="str">
        <f t="shared" si="0"/>
        <v/>
      </c>
      <c r="BN4" s="8" t="str">
        <f t="shared" si="0"/>
        <v/>
      </c>
      <c r="BO4" s="8" t="str">
        <f t="shared" si="0"/>
        <v/>
      </c>
      <c r="BP4" s="8" t="str">
        <f t="shared" si="0"/>
        <v/>
      </c>
      <c r="BQ4" s="8" t="str">
        <f t="shared" si="0"/>
        <v/>
      </c>
      <c r="BR4" s="8" t="str">
        <f t="shared" si="0"/>
        <v/>
      </c>
      <c r="BS4" s="8" t="str">
        <f t="shared" si="0"/>
        <v/>
      </c>
      <c r="BT4" s="8" t="str">
        <f t="shared" si="0"/>
        <v/>
      </c>
      <c r="BU4" s="8" t="str">
        <f t="shared" si="0"/>
        <v/>
      </c>
      <c r="BV4" s="8">
        <f t="shared" si="0"/>
        <v>45901</v>
      </c>
      <c r="BW4" s="8" t="str">
        <f t="shared" si="0"/>
        <v/>
      </c>
      <c r="BX4" s="8" t="str">
        <f t="shared" si="0"/>
        <v/>
      </c>
      <c r="BY4" s="8" t="str">
        <f t="shared" si="0"/>
        <v/>
      </c>
      <c r="BZ4" s="8" t="str">
        <f t="shared" si="0"/>
        <v/>
      </c>
      <c r="CA4" s="8" t="str">
        <f t="shared" si="0"/>
        <v/>
      </c>
      <c r="CB4" s="8" t="str">
        <f t="shared" si="0"/>
        <v/>
      </c>
      <c r="CC4" s="8" t="str">
        <f t="shared" si="0"/>
        <v/>
      </c>
      <c r="CD4" s="8" t="str">
        <f t="shared" si="0"/>
        <v/>
      </c>
      <c r="CE4" s="8" t="str">
        <f t="shared" si="0"/>
        <v/>
      </c>
      <c r="CF4" s="8" t="str">
        <f t="shared" si="0"/>
        <v/>
      </c>
      <c r="CG4" s="8" t="str">
        <f t="shared" si="0"/>
        <v/>
      </c>
      <c r="CH4" s="8" t="str">
        <f t="shared" si="0"/>
        <v/>
      </c>
      <c r="CI4" s="8" t="str">
        <f t="shared" si="0"/>
        <v/>
      </c>
      <c r="CJ4" s="8" t="str">
        <f t="shared" si="0"/>
        <v/>
      </c>
      <c r="CK4" s="8" t="str">
        <f t="shared" si="0"/>
        <v/>
      </c>
      <c r="CL4" s="8" t="str">
        <f t="shared" si="0"/>
        <v/>
      </c>
      <c r="CM4" s="8" t="str">
        <f t="shared" si="0"/>
        <v/>
      </c>
      <c r="CN4" s="8" t="str">
        <f t="shared" si="0"/>
        <v/>
      </c>
      <c r="CO4" s="8" t="str">
        <f t="shared" si="0"/>
        <v/>
      </c>
      <c r="CP4" s="8" t="str">
        <f t="shared" si="0"/>
        <v/>
      </c>
      <c r="CQ4" s="8" t="str">
        <f t="shared" si="0"/>
        <v/>
      </c>
      <c r="CR4" s="8" t="str">
        <f t="shared" si="0"/>
        <v/>
      </c>
      <c r="CS4" s="8" t="str">
        <f t="shared" si="0"/>
        <v/>
      </c>
      <c r="CT4" s="8" t="str">
        <f t="shared" si="0"/>
        <v/>
      </c>
      <c r="CU4" s="8" t="str">
        <f t="shared" si="0"/>
        <v/>
      </c>
      <c r="CV4" s="8" t="str">
        <f t="shared" si="0"/>
        <v/>
      </c>
      <c r="CW4" s="8" t="str">
        <f t="shared" si="0"/>
        <v/>
      </c>
      <c r="CX4" s="8" t="str">
        <f t="shared" si="0"/>
        <v/>
      </c>
      <c r="CY4" s="8" t="str">
        <f t="shared" si="0"/>
        <v/>
      </c>
      <c r="CZ4" s="8">
        <f t="shared" si="0"/>
        <v>45931</v>
      </c>
      <c r="DA4" s="8" t="str">
        <f t="shared" si="0"/>
        <v/>
      </c>
      <c r="DB4" s="9" t="str">
        <f t="shared" si="0"/>
        <v/>
      </c>
      <c r="DC4" s="3"/>
    </row>
    <row r="5" spans="1:108" s="2" customFormat="1" ht="19.5" customHeight="1">
      <c r="A5" s="80"/>
      <c r="B5" s="80"/>
      <c r="C5" s="89"/>
      <c r="D5" s="90"/>
      <c r="E5" s="90"/>
      <c r="F5" s="90"/>
      <c r="G5" s="91"/>
      <c r="H5" s="96"/>
      <c r="I5" s="97"/>
      <c r="J5" s="97"/>
      <c r="K5" s="97"/>
      <c r="L5" s="97"/>
      <c r="M5" s="97"/>
      <c r="N5" s="97"/>
      <c r="O5" s="98"/>
      <c r="P5" s="80"/>
      <c r="Q5" s="80"/>
      <c r="R5" s="80"/>
      <c r="S5" s="79" t="s">
        <v>1</v>
      </c>
      <c r="T5" s="79"/>
      <c r="U5" s="79"/>
      <c r="V5" s="79" t="s">
        <v>2</v>
      </c>
      <c r="W5" s="79"/>
      <c r="X5" s="79"/>
      <c r="Y5" s="80" t="s">
        <v>1</v>
      </c>
      <c r="Z5" s="80"/>
      <c r="AA5" s="80"/>
      <c r="AB5" s="80" t="s">
        <v>2</v>
      </c>
      <c r="AC5" s="80"/>
      <c r="AD5" s="80"/>
      <c r="AE5" s="81" t="s">
        <v>6</v>
      </c>
      <c r="AF5" s="82"/>
      <c r="AG5" s="85" t="s">
        <v>7</v>
      </c>
      <c r="AH5" s="82"/>
      <c r="AI5" s="120"/>
      <c r="AJ5" s="121"/>
      <c r="AK5" s="126"/>
      <c r="AL5" s="127"/>
      <c r="AM5" s="126"/>
      <c r="AN5" s="131"/>
      <c r="AO5" s="131"/>
      <c r="AP5" s="127"/>
      <c r="AQ5" s="5">
        <f>AU1</f>
        <v>45870</v>
      </c>
      <c r="AR5" s="5">
        <f t="shared" ref="AR5:DB5" si="1">AQ5+1</f>
        <v>45871</v>
      </c>
      <c r="AS5" s="5">
        <f t="shared" si="1"/>
        <v>45872</v>
      </c>
      <c r="AT5" s="5">
        <f t="shared" si="1"/>
        <v>45873</v>
      </c>
      <c r="AU5" s="5">
        <f t="shared" si="1"/>
        <v>45874</v>
      </c>
      <c r="AV5" s="5">
        <f t="shared" si="1"/>
        <v>45875</v>
      </c>
      <c r="AW5" s="5">
        <f t="shared" si="1"/>
        <v>45876</v>
      </c>
      <c r="AX5" s="5">
        <f t="shared" si="1"/>
        <v>45877</v>
      </c>
      <c r="AY5" s="5">
        <f t="shared" si="1"/>
        <v>45878</v>
      </c>
      <c r="AZ5" s="5">
        <f t="shared" si="1"/>
        <v>45879</v>
      </c>
      <c r="BA5" s="18">
        <f t="shared" si="1"/>
        <v>45880</v>
      </c>
      <c r="BB5" s="5">
        <f t="shared" si="1"/>
        <v>45881</v>
      </c>
      <c r="BC5" s="5">
        <f t="shared" si="1"/>
        <v>45882</v>
      </c>
      <c r="BD5" s="30">
        <f t="shared" si="1"/>
        <v>45883</v>
      </c>
      <c r="BE5" s="30">
        <f t="shared" si="1"/>
        <v>45884</v>
      </c>
      <c r="BF5" s="5">
        <f t="shared" si="1"/>
        <v>45885</v>
      </c>
      <c r="BG5" s="5">
        <f t="shared" si="1"/>
        <v>45886</v>
      </c>
      <c r="BH5" s="5">
        <f t="shared" si="1"/>
        <v>45887</v>
      </c>
      <c r="BI5" s="5">
        <f t="shared" ref="BI5" si="2">BH5+1</f>
        <v>45888</v>
      </c>
      <c r="BJ5" s="5">
        <f t="shared" ref="BJ5" si="3">BI5+1</f>
        <v>45889</v>
      </c>
      <c r="BK5" s="5">
        <f t="shared" si="1"/>
        <v>45890</v>
      </c>
      <c r="BL5" s="5">
        <f t="shared" si="1"/>
        <v>45891</v>
      </c>
      <c r="BM5" s="5">
        <f t="shared" si="1"/>
        <v>45892</v>
      </c>
      <c r="BN5" s="5">
        <f t="shared" si="1"/>
        <v>45893</v>
      </c>
      <c r="BO5" s="18">
        <f t="shared" si="1"/>
        <v>45894</v>
      </c>
      <c r="BP5" s="5">
        <f t="shared" si="1"/>
        <v>45895</v>
      </c>
      <c r="BQ5" s="5">
        <f t="shared" si="1"/>
        <v>45896</v>
      </c>
      <c r="BR5" s="5">
        <f t="shared" si="1"/>
        <v>45897</v>
      </c>
      <c r="BS5" s="5">
        <f t="shared" si="1"/>
        <v>45898</v>
      </c>
      <c r="BT5" s="5">
        <f t="shared" si="1"/>
        <v>45899</v>
      </c>
      <c r="BU5" s="5">
        <f t="shared" si="1"/>
        <v>45900</v>
      </c>
      <c r="BV5" s="5">
        <f t="shared" si="1"/>
        <v>45901</v>
      </c>
      <c r="BW5" s="5">
        <f t="shared" si="1"/>
        <v>45902</v>
      </c>
      <c r="BX5" s="5">
        <f t="shared" si="1"/>
        <v>45903</v>
      </c>
      <c r="BY5" s="5">
        <f t="shared" si="1"/>
        <v>45904</v>
      </c>
      <c r="BZ5" s="5">
        <f t="shared" si="1"/>
        <v>45905</v>
      </c>
      <c r="CA5" s="5">
        <f t="shared" si="1"/>
        <v>45906</v>
      </c>
      <c r="CB5" s="5">
        <f t="shared" si="1"/>
        <v>45907</v>
      </c>
      <c r="CC5" s="5">
        <f t="shared" si="1"/>
        <v>45908</v>
      </c>
      <c r="CD5" s="5">
        <f t="shared" si="1"/>
        <v>45909</v>
      </c>
      <c r="CE5" s="5">
        <f t="shared" si="1"/>
        <v>45910</v>
      </c>
      <c r="CF5" s="5">
        <f t="shared" si="1"/>
        <v>45911</v>
      </c>
      <c r="CG5" s="5">
        <f t="shared" si="1"/>
        <v>45912</v>
      </c>
      <c r="CH5" s="5">
        <f t="shared" si="1"/>
        <v>45913</v>
      </c>
      <c r="CI5" s="5">
        <f t="shared" si="1"/>
        <v>45914</v>
      </c>
      <c r="CJ5" s="5">
        <f t="shared" si="1"/>
        <v>45915</v>
      </c>
      <c r="CK5" s="5">
        <f t="shared" si="1"/>
        <v>45916</v>
      </c>
      <c r="CL5" s="5">
        <f t="shared" si="1"/>
        <v>45917</v>
      </c>
      <c r="CM5" s="5">
        <f t="shared" si="1"/>
        <v>45918</v>
      </c>
      <c r="CN5" s="5">
        <f t="shared" si="1"/>
        <v>45919</v>
      </c>
      <c r="CO5" s="5">
        <f t="shared" si="1"/>
        <v>45920</v>
      </c>
      <c r="CP5" s="5">
        <f t="shared" si="1"/>
        <v>45921</v>
      </c>
      <c r="CQ5" s="5">
        <f t="shared" si="1"/>
        <v>45922</v>
      </c>
      <c r="CR5" s="5">
        <f t="shared" si="1"/>
        <v>45923</v>
      </c>
      <c r="CS5" s="5">
        <f t="shared" si="1"/>
        <v>45924</v>
      </c>
      <c r="CT5" s="5">
        <f t="shared" si="1"/>
        <v>45925</v>
      </c>
      <c r="CU5" s="5">
        <f t="shared" si="1"/>
        <v>45926</v>
      </c>
      <c r="CV5" s="5">
        <f t="shared" si="1"/>
        <v>45927</v>
      </c>
      <c r="CW5" s="5">
        <f t="shared" si="1"/>
        <v>45928</v>
      </c>
      <c r="CX5" s="5">
        <f t="shared" si="1"/>
        <v>45929</v>
      </c>
      <c r="CY5" s="5">
        <f t="shared" si="1"/>
        <v>45930</v>
      </c>
      <c r="CZ5" s="5">
        <f t="shared" si="1"/>
        <v>45931</v>
      </c>
      <c r="DA5" s="5">
        <f t="shared" si="1"/>
        <v>45932</v>
      </c>
      <c r="DB5" s="5">
        <f t="shared" si="1"/>
        <v>45933</v>
      </c>
      <c r="DD5" s="3"/>
    </row>
    <row r="6" spans="1:108" ht="19.5" customHeight="1">
      <c r="A6" s="80"/>
      <c r="B6" s="80"/>
      <c r="C6" s="92"/>
      <c r="D6" s="93"/>
      <c r="E6" s="93"/>
      <c r="F6" s="93"/>
      <c r="G6" s="94"/>
      <c r="H6" s="83"/>
      <c r="I6" s="99"/>
      <c r="J6" s="99"/>
      <c r="K6" s="99"/>
      <c r="L6" s="99"/>
      <c r="M6" s="99"/>
      <c r="N6" s="99"/>
      <c r="O6" s="84"/>
      <c r="P6" s="80"/>
      <c r="Q6" s="80"/>
      <c r="R6" s="80"/>
      <c r="S6" s="79"/>
      <c r="T6" s="79"/>
      <c r="U6" s="79"/>
      <c r="V6" s="79"/>
      <c r="W6" s="79"/>
      <c r="X6" s="79"/>
      <c r="Y6" s="80"/>
      <c r="Z6" s="80"/>
      <c r="AA6" s="80"/>
      <c r="AB6" s="80"/>
      <c r="AC6" s="80"/>
      <c r="AD6" s="80"/>
      <c r="AE6" s="83"/>
      <c r="AF6" s="84"/>
      <c r="AG6" s="83"/>
      <c r="AH6" s="84"/>
      <c r="AI6" s="122"/>
      <c r="AJ6" s="123"/>
      <c r="AK6" s="128"/>
      <c r="AL6" s="129"/>
      <c r="AM6" s="128"/>
      <c r="AN6" s="132"/>
      <c r="AO6" s="132"/>
      <c r="AP6" s="129"/>
      <c r="AQ6" s="6" t="str">
        <f>TEXT(AQ5,"aaa")</f>
        <v>金</v>
      </c>
      <c r="AR6" s="6" t="str">
        <f t="shared" ref="AR6:AU6" si="4">TEXT(AR5,"aaa")</f>
        <v>土</v>
      </c>
      <c r="AS6" s="6" t="str">
        <f t="shared" si="4"/>
        <v>日</v>
      </c>
      <c r="AT6" s="6" t="str">
        <f t="shared" si="4"/>
        <v>月</v>
      </c>
      <c r="AU6" s="6" t="str">
        <f t="shared" si="4"/>
        <v>火</v>
      </c>
      <c r="AV6" s="6" t="str">
        <f>TEXT(AV5,"aaa")</f>
        <v>水</v>
      </c>
      <c r="AW6" s="6" t="str">
        <f t="shared" ref="AW6:DB6" si="5">TEXT(AW5,"aaa")</f>
        <v>木</v>
      </c>
      <c r="AX6" s="6" t="str">
        <f t="shared" si="5"/>
        <v>金</v>
      </c>
      <c r="AY6" s="6" t="str">
        <f t="shared" si="5"/>
        <v>土</v>
      </c>
      <c r="AZ6" s="6" t="str">
        <f t="shared" si="5"/>
        <v>日</v>
      </c>
      <c r="BA6" s="19" t="str">
        <f t="shared" si="5"/>
        <v>月</v>
      </c>
      <c r="BB6" s="6" t="str">
        <f t="shared" si="5"/>
        <v>火</v>
      </c>
      <c r="BC6" s="6" t="str">
        <f t="shared" si="5"/>
        <v>水</v>
      </c>
      <c r="BD6" s="20" t="str">
        <f t="shared" si="5"/>
        <v>木</v>
      </c>
      <c r="BE6" s="20" t="str">
        <f t="shared" si="5"/>
        <v>金</v>
      </c>
      <c r="BF6" s="6" t="str">
        <f t="shared" si="5"/>
        <v>土</v>
      </c>
      <c r="BG6" s="6" t="str">
        <f t="shared" si="5"/>
        <v>日</v>
      </c>
      <c r="BH6" s="6" t="str">
        <f t="shared" si="5"/>
        <v>月</v>
      </c>
      <c r="BI6" s="6" t="str">
        <f t="shared" si="5"/>
        <v>火</v>
      </c>
      <c r="BJ6" s="6" t="str">
        <f t="shared" si="5"/>
        <v>水</v>
      </c>
      <c r="BK6" s="6" t="str">
        <f t="shared" si="5"/>
        <v>木</v>
      </c>
      <c r="BL6" s="6" t="str">
        <f t="shared" si="5"/>
        <v>金</v>
      </c>
      <c r="BM6" s="6" t="str">
        <f t="shared" si="5"/>
        <v>土</v>
      </c>
      <c r="BN6" s="6" t="str">
        <f t="shared" si="5"/>
        <v>日</v>
      </c>
      <c r="BO6" s="19" t="str">
        <f t="shared" si="5"/>
        <v>月</v>
      </c>
      <c r="BP6" s="6" t="str">
        <f t="shared" si="5"/>
        <v>火</v>
      </c>
      <c r="BQ6" s="6" t="str">
        <f t="shared" si="5"/>
        <v>水</v>
      </c>
      <c r="BR6" s="6" t="str">
        <f t="shared" si="5"/>
        <v>木</v>
      </c>
      <c r="BS6" s="6" t="str">
        <f t="shared" si="5"/>
        <v>金</v>
      </c>
      <c r="BT6" s="6" t="str">
        <f t="shared" si="5"/>
        <v>土</v>
      </c>
      <c r="BU6" s="6" t="str">
        <f t="shared" si="5"/>
        <v>日</v>
      </c>
      <c r="BV6" s="6" t="str">
        <f t="shared" si="5"/>
        <v>月</v>
      </c>
      <c r="BW6" s="6" t="str">
        <f t="shared" si="5"/>
        <v>火</v>
      </c>
      <c r="BX6" s="6" t="str">
        <f t="shared" si="5"/>
        <v>水</v>
      </c>
      <c r="BY6" s="6" t="str">
        <f t="shared" si="5"/>
        <v>木</v>
      </c>
      <c r="BZ6" s="6" t="str">
        <f t="shared" si="5"/>
        <v>金</v>
      </c>
      <c r="CA6" s="6" t="str">
        <f t="shared" si="5"/>
        <v>土</v>
      </c>
      <c r="CB6" s="6" t="str">
        <f t="shared" si="5"/>
        <v>日</v>
      </c>
      <c r="CC6" s="6" t="str">
        <f t="shared" si="5"/>
        <v>月</v>
      </c>
      <c r="CD6" s="6" t="str">
        <f t="shared" si="5"/>
        <v>火</v>
      </c>
      <c r="CE6" s="6" t="str">
        <f t="shared" si="5"/>
        <v>水</v>
      </c>
      <c r="CF6" s="6" t="str">
        <f t="shared" si="5"/>
        <v>木</v>
      </c>
      <c r="CG6" s="6" t="str">
        <f t="shared" si="5"/>
        <v>金</v>
      </c>
      <c r="CH6" s="6" t="str">
        <f t="shared" si="5"/>
        <v>土</v>
      </c>
      <c r="CI6" s="6" t="str">
        <f t="shared" si="5"/>
        <v>日</v>
      </c>
      <c r="CJ6" s="6" t="str">
        <f t="shared" si="5"/>
        <v>月</v>
      </c>
      <c r="CK6" s="6" t="str">
        <f t="shared" si="5"/>
        <v>火</v>
      </c>
      <c r="CL6" s="6" t="str">
        <f t="shared" si="5"/>
        <v>水</v>
      </c>
      <c r="CM6" s="6" t="str">
        <f t="shared" si="5"/>
        <v>木</v>
      </c>
      <c r="CN6" s="6" t="str">
        <f t="shared" si="5"/>
        <v>金</v>
      </c>
      <c r="CO6" s="6" t="str">
        <f t="shared" si="5"/>
        <v>土</v>
      </c>
      <c r="CP6" s="6" t="str">
        <f t="shared" si="5"/>
        <v>日</v>
      </c>
      <c r="CQ6" s="6" t="str">
        <f t="shared" si="5"/>
        <v>月</v>
      </c>
      <c r="CR6" s="6" t="str">
        <f t="shared" si="5"/>
        <v>火</v>
      </c>
      <c r="CS6" s="6" t="str">
        <f t="shared" si="5"/>
        <v>水</v>
      </c>
      <c r="CT6" s="6" t="str">
        <f t="shared" si="5"/>
        <v>木</v>
      </c>
      <c r="CU6" s="6" t="str">
        <f t="shared" si="5"/>
        <v>金</v>
      </c>
      <c r="CV6" s="6" t="str">
        <f t="shared" si="5"/>
        <v>土</v>
      </c>
      <c r="CW6" s="6" t="str">
        <f t="shared" si="5"/>
        <v>日</v>
      </c>
      <c r="CX6" s="6" t="str">
        <f t="shared" si="5"/>
        <v>月</v>
      </c>
      <c r="CY6" s="6" t="str">
        <f t="shared" si="5"/>
        <v>火</v>
      </c>
      <c r="CZ6" s="6" t="str">
        <f t="shared" si="5"/>
        <v>水</v>
      </c>
      <c r="DA6" s="6" t="str">
        <f t="shared" si="5"/>
        <v>木</v>
      </c>
      <c r="DB6" s="6" t="str">
        <f t="shared" si="5"/>
        <v>金</v>
      </c>
      <c r="DD6" s="2"/>
    </row>
    <row r="7" spans="1:108" ht="18.75" customHeight="1">
      <c r="A7" s="65">
        <v>1</v>
      </c>
      <c r="B7" s="65"/>
      <c r="C7" s="66" t="s">
        <v>88</v>
      </c>
      <c r="D7" s="66"/>
      <c r="E7" s="66"/>
      <c r="F7" s="66"/>
      <c r="G7" s="66"/>
      <c r="H7" s="69" t="s">
        <v>89</v>
      </c>
      <c r="I7" s="70"/>
      <c r="J7" s="70"/>
      <c r="K7" s="70"/>
      <c r="L7" s="70"/>
      <c r="M7" s="70"/>
      <c r="N7" s="70"/>
      <c r="O7" s="71"/>
      <c r="P7" s="137" t="s">
        <v>78</v>
      </c>
      <c r="Q7" s="138"/>
      <c r="R7" s="139"/>
      <c r="S7" s="67">
        <v>45870</v>
      </c>
      <c r="T7" s="67"/>
      <c r="U7" s="67"/>
      <c r="V7" s="67">
        <v>45876</v>
      </c>
      <c r="W7" s="67"/>
      <c r="X7" s="67"/>
      <c r="Y7" s="67"/>
      <c r="Z7" s="67"/>
      <c r="AA7" s="67"/>
      <c r="AB7" s="67"/>
      <c r="AC7" s="67"/>
      <c r="AD7" s="67"/>
      <c r="AE7" s="68">
        <f>NETWORKDAYS(MIN(IFERROR(DATEVALUE(S7),S7), IFERROR(DATEVALUE(V7),V7)),MAX(IFERROR(DATEVALUE(S7),S7), IFERROR(DATEVALUE(V7),V7)),$DD$7:$DD$9)*11</f>
        <v>55</v>
      </c>
      <c r="AF7" s="58"/>
      <c r="AG7" s="72"/>
      <c r="AH7" s="73"/>
      <c r="AI7" s="74"/>
      <c r="AJ7" s="75"/>
      <c r="AK7" s="74"/>
      <c r="AL7" s="75"/>
      <c r="AM7" s="61">
        <f>AE7*AK7-AI7*AE7</f>
        <v>0</v>
      </c>
      <c r="AN7" s="62"/>
      <c r="AO7" s="62"/>
      <c r="AP7" s="63"/>
      <c r="AQ7" s="38"/>
      <c r="AR7" s="6"/>
      <c r="AS7" s="20"/>
      <c r="AT7" s="38"/>
      <c r="AU7" s="38"/>
      <c r="AV7" s="38"/>
      <c r="AW7" s="39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D7" s="32">
        <v>45880</v>
      </c>
    </row>
    <row r="8" spans="1:108" ht="18.75" customHeight="1">
      <c r="A8" s="65">
        <v>2</v>
      </c>
      <c r="B8" s="65"/>
      <c r="C8" s="66" t="s">
        <v>88</v>
      </c>
      <c r="D8" s="66"/>
      <c r="E8" s="66"/>
      <c r="F8" s="66"/>
      <c r="G8" s="66"/>
      <c r="H8" s="69" t="s">
        <v>90</v>
      </c>
      <c r="I8" s="70"/>
      <c r="J8" s="70"/>
      <c r="K8" s="70"/>
      <c r="L8" s="70"/>
      <c r="M8" s="70"/>
      <c r="N8" s="70"/>
      <c r="O8" s="71"/>
      <c r="P8" s="137" t="s">
        <v>78</v>
      </c>
      <c r="Q8" s="138"/>
      <c r="R8" s="139"/>
      <c r="S8" s="76">
        <v>45877</v>
      </c>
      <c r="T8" s="77"/>
      <c r="U8" s="78"/>
      <c r="V8" s="67">
        <v>45881</v>
      </c>
      <c r="W8" s="77"/>
      <c r="X8" s="78"/>
      <c r="Y8" s="67"/>
      <c r="Z8" s="67"/>
      <c r="AA8" s="67"/>
      <c r="AB8" s="67"/>
      <c r="AC8" s="67"/>
      <c r="AD8" s="67"/>
      <c r="AE8" s="68">
        <f t="shared" ref="AE8:AE23" si="6">NETWORKDAYS(MIN(IFERROR(DATEVALUE(S8),S8), IFERROR(DATEVALUE(V8),V8)),MAX(IFERROR(DATEVALUE(S8),S8), IFERROR(DATEVALUE(V8),V8)),$DD$7:$DD$9)*11</f>
        <v>22</v>
      </c>
      <c r="AF8" s="58"/>
      <c r="AG8" s="57"/>
      <c r="AH8" s="58"/>
      <c r="AI8" s="59"/>
      <c r="AJ8" s="60"/>
      <c r="AK8" s="59"/>
      <c r="AL8" s="60"/>
      <c r="AM8" s="61">
        <f t="shared" ref="AM8" si="7">AE8*AK8-AI8*AE8</f>
        <v>0</v>
      </c>
      <c r="AN8" s="62"/>
      <c r="AO8" s="62"/>
      <c r="AP8" s="63"/>
      <c r="AQ8" s="4"/>
      <c r="AR8" s="4"/>
      <c r="AS8" s="10"/>
      <c r="AT8" s="10"/>
      <c r="AU8" s="10"/>
      <c r="AV8" s="10"/>
      <c r="AW8" s="10"/>
      <c r="AX8" s="39"/>
      <c r="AY8" s="10"/>
      <c r="AZ8" s="10"/>
      <c r="BA8" s="10"/>
      <c r="BB8" s="39"/>
      <c r="BC8" s="10"/>
      <c r="BD8" s="10"/>
      <c r="BE8" s="10"/>
      <c r="BF8" s="10"/>
      <c r="BG8" s="10"/>
      <c r="BH8" s="10"/>
      <c r="BI8" s="10"/>
      <c r="BJ8" s="10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D8" s="32">
        <v>45893</v>
      </c>
    </row>
    <row r="9" spans="1:108" ht="18.75" customHeight="1">
      <c r="A9" s="65">
        <v>3</v>
      </c>
      <c r="B9" s="65"/>
      <c r="C9" s="66" t="s">
        <v>88</v>
      </c>
      <c r="D9" s="66"/>
      <c r="E9" s="66"/>
      <c r="F9" s="66"/>
      <c r="G9" s="66"/>
      <c r="H9" s="69" t="s">
        <v>91</v>
      </c>
      <c r="I9" s="70"/>
      <c r="J9" s="70"/>
      <c r="K9" s="70"/>
      <c r="L9" s="70"/>
      <c r="M9" s="70"/>
      <c r="N9" s="70"/>
      <c r="O9" s="71"/>
      <c r="P9" s="137" t="s">
        <v>78</v>
      </c>
      <c r="Q9" s="138"/>
      <c r="R9" s="139"/>
      <c r="S9" s="76">
        <v>45882</v>
      </c>
      <c r="T9" s="77"/>
      <c r="U9" s="78"/>
      <c r="V9" s="67">
        <v>45887</v>
      </c>
      <c r="W9" s="77"/>
      <c r="X9" s="78"/>
      <c r="Y9" s="67"/>
      <c r="Z9" s="67"/>
      <c r="AA9" s="67"/>
      <c r="AB9" s="67"/>
      <c r="AC9" s="67"/>
      <c r="AD9" s="67"/>
      <c r="AE9" s="68">
        <f t="shared" si="6"/>
        <v>44</v>
      </c>
      <c r="AF9" s="58"/>
      <c r="AG9" s="72"/>
      <c r="AH9" s="73"/>
      <c r="AI9" s="74"/>
      <c r="AJ9" s="75"/>
      <c r="AK9" s="74"/>
      <c r="AL9" s="75"/>
      <c r="AM9" s="61">
        <f>AE9*AK9-AI9*AE9</f>
        <v>0</v>
      </c>
      <c r="AN9" s="62"/>
      <c r="AO9" s="62"/>
      <c r="AP9" s="63"/>
      <c r="AQ9" s="4"/>
      <c r="AR9" s="4"/>
      <c r="AS9" s="4"/>
      <c r="AT9" s="4"/>
      <c r="AU9" s="4"/>
      <c r="AV9" s="4"/>
      <c r="AW9" s="4"/>
      <c r="AX9" s="4"/>
      <c r="AY9" s="10"/>
      <c r="AZ9" s="10"/>
      <c r="BA9" s="10"/>
      <c r="BB9" s="4"/>
      <c r="BC9" s="39"/>
      <c r="BD9" s="39"/>
      <c r="BE9" s="39"/>
      <c r="BF9" s="4"/>
      <c r="BG9" s="4"/>
      <c r="BH9" s="39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D9" s="32">
        <v>45894</v>
      </c>
    </row>
    <row r="10" spans="1:108" ht="18.75" customHeight="1">
      <c r="A10" s="65">
        <v>4</v>
      </c>
      <c r="B10" s="65"/>
      <c r="C10" s="66" t="s">
        <v>88</v>
      </c>
      <c r="D10" s="66"/>
      <c r="E10" s="66"/>
      <c r="F10" s="66"/>
      <c r="G10" s="66"/>
      <c r="H10" s="69" t="s">
        <v>92</v>
      </c>
      <c r="I10" s="70"/>
      <c r="J10" s="70"/>
      <c r="K10" s="70"/>
      <c r="L10" s="70"/>
      <c r="M10" s="70"/>
      <c r="N10" s="70"/>
      <c r="O10" s="71"/>
      <c r="P10" s="137" t="s">
        <v>78</v>
      </c>
      <c r="Q10" s="138"/>
      <c r="R10" s="139"/>
      <c r="S10" s="67">
        <v>45888</v>
      </c>
      <c r="T10" s="67"/>
      <c r="U10" s="67"/>
      <c r="V10" s="67">
        <v>45889</v>
      </c>
      <c r="W10" s="67"/>
      <c r="X10" s="67"/>
      <c r="Y10" s="67"/>
      <c r="Z10" s="67"/>
      <c r="AA10" s="67"/>
      <c r="AB10" s="67"/>
      <c r="AC10" s="67"/>
      <c r="AD10" s="67"/>
      <c r="AE10" s="68">
        <f t="shared" si="6"/>
        <v>22</v>
      </c>
      <c r="AF10" s="58"/>
      <c r="AG10" s="72"/>
      <c r="AH10" s="73"/>
      <c r="AI10" s="74"/>
      <c r="AJ10" s="75"/>
      <c r="AK10" s="74"/>
      <c r="AL10" s="75"/>
      <c r="AM10" s="61">
        <f t="shared" ref="AM10:AM35" si="8">AE10*AK10-AI10*AE10</f>
        <v>0</v>
      </c>
      <c r="AN10" s="62"/>
      <c r="AO10" s="62"/>
      <c r="AP10" s="63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39"/>
      <c r="BJ10" s="39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D10" s="33"/>
    </row>
    <row r="11" spans="1:108" ht="18.75" customHeight="1">
      <c r="A11" s="65">
        <v>5</v>
      </c>
      <c r="B11" s="65"/>
      <c r="C11" s="66" t="s">
        <v>88</v>
      </c>
      <c r="D11" s="66"/>
      <c r="E11" s="66"/>
      <c r="F11" s="66"/>
      <c r="G11" s="66"/>
      <c r="H11" s="69" t="s">
        <v>93</v>
      </c>
      <c r="I11" s="70"/>
      <c r="J11" s="70"/>
      <c r="K11" s="70"/>
      <c r="L11" s="70"/>
      <c r="M11" s="70"/>
      <c r="N11" s="70"/>
      <c r="O11" s="71"/>
      <c r="P11" s="137" t="s">
        <v>78</v>
      </c>
      <c r="Q11" s="138"/>
      <c r="R11" s="139"/>
      <c r="S11" s="67">
        <v>45890</v>
      </c>
      <c r="T11" s="67"/>
      <c r="U11" s="67"/>
      <c r="V11" s="67">
        <v>45891</v>
      </c>
      <c r="W11" s="67"/>
      <c r="X11" s="67"/>
      <c r="Y11" s="67"/>
      <c r="Z11" s="67"/>
      <c r="AA11" s="67"/>
      <c r="AB11" s="67"/>
      <c r="AC11" s="67"/>
      <c r="AD11" s="67"/>
      <c r="AE11" s="68">
        <f t="shared" si="6"/>
        <v>22</v>
      </c>
      <c r="AF11" s="58"/>
      <c r="AG11" s="72"/>
      <c r="AH11" s="73"/>
      <c r="AI11" s="74"/>
      <c r="AJ11" s="75"/>
      <c r="AK11" s="74"/>
      <c r="AL11" s="75"/>
      <c r="AM11" s="61">
        <f t="shared" si="8"/>
        <v>0</v>
      </c>
      <c r="AN11" s="62"/>
      <c r="AO11" s="62"/>
      <c r="AP11" s="63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39"/>
      <c r="BL11" s="39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D11" s="33"/>
    </row>
    <row r="12" spans="1:108" ht="18.75" customHeight="1">
      <c r="A12" s="65">
        <v>6</v>
      </c>
      <c r="B12" s="65"/>
      <c r="C12" s="66" t="s">
        <v>94</v>
      </c>
      <c r="D12" s="66"/>
      <c r="E12" s="66"/>
      <c r="F12" s="66"/>
      <c r="G12" s="66"/>
      <c r="H12" s="11" t="s">
        <v>95</v>
      </c>
      <c r="I12" s="12"/>
      <c r="J12" s="12"/>
      <c r="K12" s="12"/>
      <c r="L12" s="12"/>
      <c r="M12" s="12"/>
      <c r="N12" s="12"/>
      <c r="O12" s="13"/>
      <c r="P12" s="140" t="s">
        <v>109</v>
      </c>
      <c r="Q12" s="141"/>
      <c r="R12" s="142"/>
      <c r="S12" s="67">
        <v>45870</v>
      </c>
      <c r="T12" s="67"/>
      <c r="U12" s="67"/>
      <c r="V12" s="67">
        <v>45874</v>
      </c>
      <c r="W12" s="67"/>
      <c r="X12" s="67"/>
      <c r="Y12" s="67"/>
      <c r="Z12" s="67"/>
      <c r="AA12" s="67"/>
      <c r="AB12" s="67"/>
      <c r="AC12" s="67"/>
      <c r="AD12" s="67"/>
      <c r="AE12" s="68">
        <f t="shared" si="6"/>
        <v>33</v>
      </c>
      <c r="AF12" s="58"/>
      <c r="AG12" s="72"/>
      <c r="AH12" s="73"/>
      <c r="AI12" s="74"/>
      <c r="AJ12" s="75"/>
      <c r="AK12" s="74"/>
      <c r="AL12" s="75"/>
      <c r="AM12" s="61">
        <f t="shared" si="8"/>
        <v>0</v>
      </c>
      <c r="AN12" s="62"/>
      <c r="AO12" s="62"/>
      <c r="AP12" s="63"/>
      <c r="AQ12" s="41"/>
      <c r="AR12" s="4"/>
      <c r="AS12" s="4"/>
      <c r="AT12" s="41"/>
      <c r="AU12" s="41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D12" s="33"/>
    </row>
    <row r="13" spans="1:108" ht="18.75" customHeight="1">
      <c r="A13" s="65">
        <v>7</v>
      </c>
      <c r="B13" s="65"/>
      <c r="C13" s="66" t="s">
        <v>94</v>
      </c>
      <c r="D13" s="66"/>
      <c r="E13" s="66"/>
      <c r="F13" s="66"/>
      <c r="G13" s="66"/>
      <c r="H13" s="69" t="s">
        <v>96</v>
      </c>
      <c r="I13" s="70"/>
      <c r="J13" s="70"/>
      <c r="K13" s="70"/>
      <c r="L13" s="70"/>
      <c r="M13" s="70"/>
      <c r="N13" s="70"/>
      <c r="O13" s="71"/>
      <c r="P13" s="140" t="s">
        <v>109</v>
      </c>
      <c r="Q13" s="141"/>
      <c r="R13" s="142"/>
      <c r="S13" s="67">
        <v>45875</v>
      </c>
      <c r="T13" s="67"/>
      <c r="U13" s="67"/>
      <c r="V13" s="67">
        <v>45877</v>
      </c>
      <c r="W13" s="67"/>
      <c r="X13" s="67"/>
      <c r="Y13" s="67"/>
      <c r="Z13" s="67"/>
      <c r="AA13" s="67"/>
      <c r="AB13" s="67"/>
      <c r="AC13" s="67"/>
      <c r="AD13" s="67"/>
      <c r="AE13" s="68">
        <f t="shared" si="6"/>
        <v>33</v>
      </c>
      <c r="AF13" s="58"/>
      <c r="AG13" s="72"/>
      <c r="AH13" s="73"/>
      <c r="AI13" s="74"/>
      <c r="AJ13" s="75"/>
      <c r="AK13" s="74"/>
      <c r="AL13" s="75"/>
      <c r="AM13" s="61">
        <f t="shared" si="8"/>
        <v>0</v>
      </c>
      <c r="AN13" s="62"/>
      <c r="AO13" s="62"/>
      <c r="AP13" s="63"/>
      <c r="AQ13" s="4"/>
      <c r="AR13" s="4"/>
      <c r="AS13" s="4"/>
      <c r="AT13" s="4"/>
      <c r="AU13" s="4"/>
      <c r="AV13" s="41"/>
      <c r="AW13" s="41"/>
      <c r="AX13" s="41"/>
      <c r="AY13" s="4"/>
      <c r="AZ13" s="4"/>
      <c r="BA13" s="10"/>
      <c r="BB13" s="10"/>
      <c r="BC13" s="10"/>
      <c r="BD13" s="10"/>
      <c r="BE13" s="10"/>
      <c r="BF13" s="10"/>
      <c r="BG13" s="10"/>
      <c r="BH13" s="10"/>
      <c r="BI13" s="10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D13" s="33"/>
    </row>
    <row r="14" spans="1:108" ht="18.75" customHeight="1">
      <c r="A14" s="65">
        <v>8</v>
      </c>
      <c r="B14" s="65"/>
      <c r="C14" s="66" t="s">
        <v>94</v>
      </c>
      <c r="D14" s="66"/>
      <c r="E14" s="66"/>
      <c r="F14" s="66"/>
      <c r="G14" s="66"/>
      <c r="H14" s="69" t="s">
        <v>97</v>
      </c>
      <c r="I14" s="70"/>
      <c r="J14" s="70"/>
      <c r="K14" s="70"/>
      <c r="L14" s="70"/>
      <c r="M14" s="70"/>
      <c r="N14" s="70"/>
      <c r="O14" s="71"/>
      <c r="P14" s="140" t="s">
        <v>109</v>
      </c>
      <c r="Q14" s="141"/>
      <c r="R14" s="142"/>
      <c r="S14" s="67">
        <v>45881</v>
      </c>
      <c r="T14" s="67"/>
      <c r="U14" s="67"/>
      <c r="V14" s="67">
        <v>45887</v>
      </c>
      <c r="W14" s="67"/>
      <c r="X14" s="67"/>
      <c r="Y14" s="67"/>
      <c r="Z14" s="67"/>
      <c r="AA14" s="67"/>
      <c r="AB14" s="67"/>
      <c r="AC14" s="67"/>
      <c r="AD14" s="67"/>
      <c r="AE14" s="68">
        <f t="shared" si="6"/>
        <v>55</v>
      </c>
      <c r="AF14" s="58"/>
      <c r="AG14" s="72"/>
      <c r="AH14" s="73"/>
      <c r="AI14" s="74"/>
      <c r="AJ14" s="75"/>
      <c r="AK14" s="74"/>
      <c r="AL14" s="75"/>
      <c r="AM14" s="61">
        <f t="shared" si="8"/>
        <v>0</v>
      </c>
      <c r="AN14" s="62"/>
      <c r="AO14" s="62"/>
      <c r="AP14" s="63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10"/>
      <c r="BB14" s="41"/>
      <c r="BC14" s="41"/>
      <c r="BD14" s="41"/>
      <c r="BE14" s="41"/>
      <c r="BF14" s="10"/>
      <c r="BG14" s="10"/>
      <c r="BH14" s="41"/>
      <c r="BI14" s="10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D14" s="33"/>
    </row>
    <row r="15" spans="1:108" ht="18.75" customHeight="1">
      <c r="A15" s="65">
        <v>9</v>
      </c>
      <c r="B15" s="65"/>
      <c r="C15" s="66" t="s">
        <v>94</v>
      </c>
      <c r="D15" s="66"/>
      <c r="E15" s="66"/>
      <c r="F15" s="66"/>
      <c r="G15" s="66"/>
      <c r="H15" s="11" t="s">
        <v>98</v>
      </c>
      <c r="I15" s="12"/>
      <c r="J15" s="12"/>
      <c r="K15" s="12"/>
      <c r="L15" s="12"/>
      <c r="M15" s="12"/>
      <c r="N15" s="12"/>
      <c r="O15" s="13"/>
      <c r="P15" s="143" t="s">
        <v>108</v>
      </c>
      <c r="Q15" s="143"/>
      <c r="R15" s="143"/>
      <c r="S15" s="67">
        <v>45896</v>
      </c>
      <c r="T15" s="67"/>
      <c r="U15" s="67"/>
      <c r="V15" s="67">
        <v>45897</v>
      </c>
      <c r="W15" s="67"/>
      <c r="X15" s="67"/>
      <c r="Y15" s="67"/>
      <c r="Z15" s="67"/>
      <c r="AA15" s="67"/>
      <c r="AB15" s="67"/>
      <c r="AC15" s="67"/>
      <c r="AD15" s="67"/>
      <c r="AE15" s="68">
        <f t="shared" si="6"/>
        <v>22</v>
      </c>
      <c r="AF15" s="58"/>
      <c r="AG15" s="72"/>
      <c r="AH15" s="73"/>
      <c r="AI15" s="74"/>
      <c r="AJ15" s="75"/>
      <c r="AK15" s="74"/>
      <c r="AL15" s="75"/>
      <c r="AM15" s="61">
        <f t="shared" si="8"/>
        <v>0</v>
      </c>
      <c r="AN15" s="62"/>
      <c r="AO15" s="62"/>
      <c r="AP15" s="63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Q15" s="40"/>
      <c r="BR15" s="40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D15" s="33"/>
    </row>
    <row r="16" spans="1:108" ht="18.75" customHeight="1">
      <c r="A16" s="65">
        <v>10</v>
      </c>
      <c r="B16" s="65"/>
      <c r="C16" s="66" t="s">
        <v>94</v>
      </c>
      <c r="D16" s="66"/>
      <c r="E16" s="66"/>
      <c r="F16" s="66"/>
      <c r="G16" s="66"/>
      <c r="H16" s="11" t="s">
        <v>99</v>
      </c>
      <c r="I16" s="12"/>
      <c r="J16" s="12"/>
      <c r="K16" s="12"/>
      <c r="L16" s="12"/>
      <c r="M16" s="12"/>
      <c r="N16" s="12"/>
      <c r="O16" s="13"/>
      <c r="P16" s="140" t="s">
        <v>109</v>
      </c>
      <c r="Q16" s="141"/>
      <c r="R16" s="142"/>
      <c r="S16" s="67">
        <v>45888</v>
      </c>
      <c r="T16" s="67"/>
      <c r="U16" s="67"/>
      <c r="V16" s="67">
        <v>45891</v>
      </c>
      <c r="W16" s="67"/>
      <c r="X16" s="67"/>
      <c r="Y16" s="67"/>
      <c r="Z16" s="67"/>
      <c r="AA16" s="67"/>
      <c r="AB16" s="67"/>
      <c r="AC16" s="67"/>
      <c r="AD16" s="67"/>
      <c r="AE16" s="68">
        <f t="shared" si="6"/>
        <v>44</v>
      </c>
      <c r="AF16" s="58"/>
      <c r="AG16" s="72"/>
      <c r="AH16" s="73"/>
      <c r="AI16" s="74"/>
      <c r="AJ16" s="75"/>
      <c r="AK16" s="74"/>
      <c r="AL16" s="75"/>
      <c r="AM16" s="61">
        <f t="shared" si="8"/>
        <v>0</v>
      </c>
      <c r="AN16" s="62"/>
      <c r="AO16" s="62"/>
      <c r="AP16" s="63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1"/>
      <c r="BJ16" s="41"/>
      <c r="BK16" s="41"/>
      <c r="BL16" s="41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D16" s="33"/>
    </row>
    <row r="17" spans="1:108" ht="18.75" customHeight="1">
      <c r="A17" s="65">
        <v>11</v>
      </c>
      <c r="B17" s="65"/>
      <c r="C17" s="66" t="s">
        <v>94</v>
      </c>
      <c r="D17" s="66"/>
      <c r="E17" s="66"/>
      <c r="F17" s="66"/>
      <c r="G17" s="66"/>
      <c r="H17" s="69" t="s">
        <v>100</v>
      </c>
      <c r="I17" s="70"/>
      <c r="J17" s="70"/>
      <c r="K17" s="70"/>
      <c r="L17" s="70"/>
      <c r="M17" s="70"/>
      <c r="N17" s="70"/>
      <c r="O17" s="71"/>
      <c r="P17" s="137" t="s">
        <v>78</v>
      </c>
      <c r="Q17" s="138"/>
      <c r="R17" s="139"/>
      <c r="S17" s="67">
        <v>45895</v>
      </c>
      <c r="T17" s="67"/>
      <c r="U17" s="67"/>
      <c r="V17" s="67">
        <v>45896</v>
      </c>
      <c r="W17" s="67"/>
      <c r="X17" s="67"/>
      <c r="Y17" s="67"/>
      <c r="Z17" s="67"/>
      <c r="AA17" s="67"/>
      <c r="AB17" s="67"/>
      <c r="AC17" s="67"/>
      <c r="AD17" s="67"/>
      <c r="AE17" s="68">
        <f t="shared" si="6"/>
        <v>22</v>
      </c>
      <c r="AF17" s="58"/>
      <c r="AG17" s="72"/>
      <c r="AH17" s="73"/>
      <c r="AI17" s="74"/>
      <c r="AJ17" s="75"/>
      <c r="AK17" s="74"/>
      <c r="AL17" s="75"/>
      <c r="AM17" s="61">
        <f t="shared" si="8"/>
        <v>0</v>
      </c>
      <c r="AN17" s="62"/>
      <c r="AO17" s="62"/>
      <c r="AP17" s="63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39"/>
      <c r="BQ17" s="39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D17" s="33"/>
    </row>
    <row r="18" spans="1:108" ht="18.75" customHeight="1">
      <c r="A18" s="65">
        <v>12</v>
      </c>
      <c r="B18" s="65"/>
      <c r="C18" s="66" t="s">
        <v>94</v>
      </c>
      <c r="D18" s="66"/>
      <c r="E18" s="66"/>
      <c r="F18" s="66"/>
      <c r="G18" s="66"/>
      <c r="H18" s="69" t="s">
        <v>101</v>
      </c>
      <c r="I18" s="70"/>
      <c r="J18" s="70"/>
      <c r="K18" s="70"/>
      <c r="L18" s="70"/>
      <c r="M18" s="70"/>
      <c r="N18" s="70"/>
      <c r="O18" s="71"/>
      <c r="P18" s="140" t="s">
        <v>109</v>
      </c>
      <c r="Q18" s="141"/>
      <c r="R18" s="142"/>
      <c r="S18" s="67">
        <v>45895</v>
      </c>
      <c r="T18" s="67"/>
      <c r="U18" s="67"/>
      <c r="V18" s="67">
        <v>45898</v>
      </c>
      <c r="W18" s="67"/>
      <c r="X18" s="67"/>
      <c r="Y18" s="67"/>
      <c r="Z18" s="67"/>
      <c r="AA18" s="67"/>
      <c r="AB18" s="67"/>
      <c r="AC18" s="67"/>
      <c r="AD18" s="67"/>
      <c r="AE18" s="68">
        <f t="shared" si="6"/>
        <v>44</v>
      </c>
      <c r="AF18" s="58"/>
      <c r="AG18" s="72"/>
      <c r="AH18" s="73"/>
      <c r="AI18" s="74"/>
      <c r="AJ18" s="75"/>
      <c r="AK18" s="74"/>
      <c r="AL18" s="75"/>
      <c r="AM18" s="61">
        <f t="shared" si="8"/>
        <v>0</v>
      </c>
      <c r="AN18" s="62"/>
      <c r="AO18" s="62"/>
      <c r="AP18" s="63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D18" s="33"/>
    </row>
    <row r="19" spans="1:108" ht="18.75" customHeight="1">
      <c r="A19" s="65">
        <v>13</v>
      </c>
      <c r="B19" s="65"/>
      <c r="C19" s="66" t="s">
        <v>102</v>
      </c>
      <c r="D19" s="66"/>
      <c r="E19" s="66"/>
      <c r="F19" s="66"/>
      <c r="G19" s="66"/>
      <c r="H19" s="69" t="s">
        <v>103</v>
      </c>
      <c r="I19" s="70"/>
      <c r="J19" s="70"/>
      <c r="K19" s="70"/>
      <c r="L19" s="70"/>
      <c r="M19" s="70"/>
      <c r="N19" s="70"/>
      <c r="O19" s="71"/>
      <c r="P19" s="143" t="s">
        <v>108</v>
      </c>
      <c r="Q19" s="143"/>
      <c r="R19" s="143"/>
      <c r="S19" s="67">
        <v>45870</v>
      </c>
      <c r="T19" s="67"/>
      <c r="U19" s="67"/>
      <c r="V19" s="67">
        <v>45873</v>
      </c>
      <c r="W19" s="67"/>
      <c r="X19" s="67"/>
      <c r="Y19" s="67"/>
      <c r="Z19" s="67"/>
      <c r="AA19" s="67"/>
      <c r="AB19" s="67"/>
      <c r="AC19" s="67"/>
      <c r="AD19" s="67"/>
      <c r="AE19" s="68">
        <f t="shared" si="6"/>
        <v>22</v>
      </c>
      <c r="AF19" s="58"/>
      <c r="AG19" s="57"/>
      <c r="AH19" s="58"/>
      <c r="AI19" s="59"/>
      <c r="AJ19" s="60"/>
      <c r="AK19" s="59"/>
      <c r="AL19" s="60"/>
      <c r="AM19" s="61">
        <f t="shared" si="8"/>
        <v>0</v>
      </c>
      <c r="AN19" s="62"/>
      <c r="AO19" s="62"/>
      <c r="AP19" s="63"/>
      <c r="AQ19" s="40"/>
      <c r="AR19" s="4"/>
      <c r="AS19" s="4"/>
      <c r="AT19" s="40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1"/>
      <c r="BQ19" s="41"/>
      <c r="BR19" s="41"/>
      <c r="BS19" s="41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D19" s="33"/>
    </row>
    <row r="20" spans="1:108" ht="18.75" customHeight="1">
      <c r="A20" s="65">
        <v>14</v>
      </c>
      <c r="B20" s="65"/>
      <c r="C20" s="66" t="s">
        <v>102</v>
      </c>
      <c r="D20" s="66"/>
      <c r="E20" s="66"/>
      <c r="F20" s="66"/>
      <c r="G20" s="66"/>
      <c r="H20" s="69" t="s">
        <v>104</v>
      </c>
      <c r="I20" s="70"/>
      <c r="J20" s="70"/>
      <c r="K20" s="70"/>
      <c r="L20" s="70"/>
      <c r="M20" s="70"/>
      <c r="N20" s="70"/>
      <c r="O20" s="71"/>
      <c r="P20" s="143" t="s">
        <v>108</v>
      </c>
      <c r="Q20" s="143"/>
      <c r="R20" s="143"/>
      <c r="S20" s="67">
        <v>45874</v>
      </c>
      <c r="T20" s="67"/>
      <c r="U20" s="67"/>
      <c r="V20" s="67">
        <v>45881</v>
      </c>
      <c r="W20" s="67"/>
      <c r="X20" s="67"/>
      <c r="Y20" s="67"/>
      <c r="Z20" s="67"/>
      <c r="AA20" s="67"/>
      <c r="AB20" s="67"/>
      <c r="AC20" s="67"/>
      <c r="AD20" s="67"/>
      <c r="AE20" s="68">
        <f t="shared" si="6"/>
        <v>55</v>
      </c>
      <c r="AF20" s="58"/>
      <c r="AG20" s="57"/>
      <c r="AH20" s="58"/>
      <c r="AI20" s="59"/>
      <c r="AJ20" s="60"/>
      <c r="AK20" s="59"/>
      <c r="AL20" s="60"/>
      <c r="AM20" s="61">
        <f t="shared" si="8"/>
        <v>0</v>
      </c>
      <c r="AN20" s="62"/>
      <c r="AO20" s="62"/>
      <c r="AP20" s="63"/>
      <c r="AQ20" s="4"/>
      <c r="AR20" s="4"/>
      <c r="AS20" s="4"/>
      <c r="AT20" s="4"/>
      <c r="AU20" s="40"/>
      <c r="AV20" s="40"/>
      <c r="AW20" s="40"/>
      <c r="AX20" s="40"/>
      <c r="AY20" s="4"/>
      <c r="AZ20" s="4"/>
      <c r="BA20" s="4"/>
      <c r="BB20" s="40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D20" s="33"/>
    </row>
    <row r="21" spans="1:108" ht="18.75" customHeight="1">
      <c r="A21" s="65">
        <v>15</v>
      </c>
      <c r="B21" s="65"/>
      <c r="C21" s="66" t="s">
        <v>102</v>
      </c>
      <c r="D21" s="66"/>
      <c r="E21" s="66"/>
      <c r="F21" s="66"/>
      <c r="G21" s="66"/>
      <c r="H21" s="69" t="s">
        <v>105</v>
      </c>
      <c r="I21" s="70"/>
      <c r="J21" s="70"/>
      <c r="K21" s="70"/>
      <c r="L21" s="70"/>
      <c r="M21" s="70"/>
      <c r="N21" s="70"/>
      <c r="O21" s="71"/>
      <c r="P21" s="143" t="s">
        <v>108</v>
      </c>
      <c r="Q21" s="143"/>
      <c r="R21" s="143"/>
      <c r="S21" s="67">
        <v>45882</v>
      </c>
      <c r="T21" s="67"/>
      <c r="U21" s="67"/>
      <c r="V21" s="67">
        <v>45883</v>
      </c>
      <c r="W21" s="67"/>
      <c r="X21" s="67"/>
      <c r="Y21" s="67"/>
      <c r="Z21" s="67"/>
      <c r="AA21" s="67"/>
      <c r="AB21" s="67"/>
      <c r="AC21" s="67"/>
      <c r="AD21" s="67"/>
      <c r="AE21" s="68">
        <f t="shared" si="6"/>
        <v>22</v>
      </c>
      <c r="AF21" s="58"/>
      <c r="AG21" s="57"/>
      <c r="AH21" s="58"/>
      <c r="AI21" s="59"/>
      <c r="AJ21" s="60"/>
      <c r="AK21" s="59"/>
      <c r="AL21" s="60"/>
      <c r="AM21" s="61">
        <f t="shared" si="8"/>
        <v>0</v>
      </c>
      <c r="AN21" s="62"/>
      <c r="AO21" s="62"/>
      <c r="AP21" s="63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0"/>
      <c r="BD21" s="40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D21" s="33"/>
    </row>
    <row r="22" spans="1:108" ht="18.75" customHeight="1">
      <c r="A22" s="65">
        <v>16</v>
      </c>
      <c r="B22" s="65"/>
      <c r="C22" s="66" t="s">
        <v>102</v>
      </c>
      <c r="D22" s="66"/>
      <c r="E22" s="66"/>
      <c r="F22" s="66"/>
      <c r="G22" s="66"/>
      <c r="H22" s="69" t="s">
        <v>106</v>
      </c>
      <c r="I22" s="70"/>
      <c r="J22" s="70"/>
      <c r="K22" s="70"/>
      <c r="L22" s="70"/>
      <c r="M22" s="70"/>
      <c r="N22" s="70"/>
      <c r="O22" s="71"/>
      <c r="P22" s="143" t="s">
        <v>108</v>
      </c>
      <c r="Q22" s="143"/>
      <c r="R22" s="143"/>
      <c r="S22" s="67">
        <v>45884</v>
      </c>
      <c r="T22" s="67"/>
      <c r="U22" s="67"/>
      <c r="V22" s="67">
        <v>45888</v>
      </c>
      <c r="W22" s="67"/>
      <c r="X22" s="67"/>
      <c r="Y22" s="67"/>
      <c r="Z22" s="67"/>
      <c r="AA22" s="67"/>
      <c r="AB22" s="67"/>
      <c r="AC22" s="67"/>
      <c r="AD22" s="67"/>
      <c r="AE22" s="68">
        <f t="shared" si="6"/>
        <v>33</v>
      </c>
      <c r="AF22" s="58"/>
      <c r="AG22" s="57"/>
      <c r="AH22" s="58"/>
      <c r="AI22" s="59"/>
      <c r="AJ22" s="60"/>
      <c r="AK22" s="59"/>
      <c r="AL22" s="60"/>
      <c r="AM22" s="61">
        <f t="shared" si="8"/>
        <v>0</v>
      </c>
      <c r="AN22" s="62"/>
      <c r="AO22" s="62"/>
      <c r="AP22" s="63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0"/>
      <c r="BF22" s="4"/>
      <c r="BG22" s="4"/>
      <c r="BH22" s="40"/>
      <c r="BI22" s="40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D22" s="33"/>
    </row>
    <row r="23" spans="1:108" ht="18.75" customHeight="1">
      <c r="A23" s="65">
        <v>17</v>
      </c>
      <c r="B23" s="65"/>
      <c r="C23" s="66" t="s">
        <v>102</v>
      </c>
      <c r="D23" s="66"/>
      <c r="E23" s="66"/>
      <c r="F23" s="66"/>
      <c r="G23" s="66"/>
      <c r="H23" s="69" t="s">
        <v>107</v>
      </c>
      <c r="I23" s="70"/>
      <c r="J23" s="70"/>
      <c r="K23" s="70"/>
      <c r="L23" s="70"/>
      <c r="M23" s="70"/>
      <c r="N23" s="70"/>
      <c r="O23" s="71"/>
      <c r="P23" s="143" t="s">
        <v>108</v>
      </c>
      <c r="Q23" s="143"/>
      <c r="R23" s="143"/>
      <c r="S23" s="67">
        <v>45889</v>
      </c>
      <c r="T23" s="67"/>
      <c r="U23" s="67"/>
      <c r="V23" s="67">
        <v>45895</v>
      </c>
      <c r="W23" s="67"/>
      <c r="X23" s="67"/>
      <c r="Y23" s="67"/>
      <c r="Z23" s="67"/>
      <c r="AA23" s="67"/>
      <c r="AB23" s="67"/>
      <c r="AC23" s="67"/>
      <c r="AD23" s="67"/>
      <c r="AE23" s="68">
        <f t="shared" si="6"/>
        <v>44</v>
      </c>
      <c r="AF23" s="58"/>
      <c r="AG23" s="57"/>
      <c r="AH23" s="58"/>
      <c r="AI23" s="59"/>
      <c r="AJ23" s="60"/>
      <c r="AK23" s="59"/>
      <c r="AL23" s="60"/>
      <c r="AM23" s="61">
        <f t="shared" si="8"/>
        <v>0</v>
      </c>
      <c r="AN23" s="62"/>
      <c r="AO23" s="62"/>
      <c r="AP23" s="63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0"/>
      <c r="BK23" s="40"/>
      <c r="BL23" s="40"/>
      <c r="BM23" s="4"/>
      <c r="BN23" s="4"/>
      <c r="BO23" s="4"/>
      <c r="BP23" s="40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D23" s="33"/>
    </row>
    <row r="24" spans="1:108" ht="18.75" customHeight="1">
      <c r="A24" s="65"/>
      <c r="B24" s="65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8"/>
      <c r="AF24" s="58"/>
      <c r="AG24" s="57"/>
      <c r="AH24" s="58"/>
      <c r="AI24" s="59"/>
      <c r="AJ24" s="60"/>
      <c r="AK24" s="59"/>
      <c r="AL24" s="60"/>
      <c r="AM24" s="61">
        <f t="shared" si="8"/>
        <v>0</v>
      </c>
      <c r="AN24" s="62"/>
      <c r="AO24" s="62"/>
      <c r="AP24" s="63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D24" s="33"/>
    </row>
    <row r="25" spans="1:108" ht="18.75" customHeight="1">
      <c r="A25" s="65"/>
      <c r="B25" s="65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8"/>
      <c r="AF25" s="58"/>
      <c r="AG25" s="57"/>
      <c r="AH25" s="58"/>
      <c r="AI25" s="59"/>
      <c r="AJ25" s="60"/>
      <c r="AK25" s="59"/>
      <c r="AL25" s="60"/>
      <c r="AM25" s="61">
        <f t="shared" si="8"/>
        <v>0</v>
      </c>
      <c r="AN25" s="62"/>
      <c r="AO25" s="62"/>
      <c r="AP25" s="63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D25" s="33"/>
    </row>
    <row r="26" spans="1:108" ht="18.75" customHeight="1">
      <c r="A26" s="65"/>
      <c r="B26" s="65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8"/>
      <c r="AF26" s="58"/>
      <c r="AG26" s="57"/>
      <c r="AH26" s="58"/>
      <c r="AI26" s="59"/>
      <c r="AJ26" s="60"/>
      <c r="AK26" s="59"/>
      <c r="AL26" s="60"/>
      <c r="AM26" s="61">
        <f t="shared" si="8"/>
        <v>0</v>
      </c>
      <c r="AN26" s="62"/>
      <c r="AO26" s="62"/>
      <c r="AP26" s="63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D26" s="33"/>
    </row>
    <row r="27" spans="1:108" ht="18.75" customHeight="1">
      <c r="A27" s="65"/>
      <c r="B27" s="65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8"/>
      <c r="AF27" s="58"/>
      <c r="AG27" s="57"/>
      <c r="AH27" s="58"/>
      <c r="AI27" s="59"/>
      <c r="AJ27" s="60"/>
      <c r="AK27" s="59"/>
      <c r="AL27" s="60"/>
      <c r="AM27" s="61">
        <f t="shared" si="8"/>
        <v>0</v>
      </c>
      <c r="AN27" s="62"/>
      <c r="AO27" s="62"/>
      <c r="AP27" s="63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D27" s="33"/>
    </row>
    <row r="28" spans="1:108" ht="18.75" customHeight="1">
      <c r="A28" s="65"/>
      <c r="B28" s="65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8"/>
      <c r="AF28" s="58"/>
      <c r="AG28" s="57"/>
      <c r="AH28" s="58"/>
      <c r="AI28" s="59"/>
      <c r="AJ28" s="60"/>
      <c r="AK28" s="59"/>
      <c r="AL28" s="60"/>
      <c r="AM28" s="61">
        <f t="shared" si="8"/>
        <v>0</v>
      </c>
      <c r="AN28" s="62"/>
      <c r="AO28" s="62"/>
      <c r="AP28" s="63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D28" s="33"/>
    </row>
    <row r="29" spans="1:108" ht="18.75" customHeight="1">
      <c r="A29" s="65"/>
      <c r="B29" s="65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8"/>
      <c r="AF29" s="58"/>
      <c r="AG29" s="57"/>
      <c r="AH29" s="58"/>
      <c r="AI29" s="59"/>
      <c r="AJ29" s="60"/>
      <c r="AK29" s="59"/>
      <c r="AL29" s="60"/>
      <c r="AM29" s="61">
        <f t="shared" si="8"/>
        <v>0</v>
      </c>
      <c r="AN29" s="62"/>
      <c r="AO29" s="62"/>
      <c r="AP29" s="63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D29" s="33"/>
    </row>
    <row r="30" spans="1:108" ht="18.75" customHeight="1">
      <c r="A30" s="65"/>
      <c r="B30" s="65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8"/>
      <c r="AF30" s="58"/>
      <c r="AG30" s="57"/>
      <c r="AH30" s="58"/>
      <c r="AI30" s="59"/>
      <c r="AJ30" s="60"/>
      <c r="AK30" s="59"/>
      <c r="AL30" s="60"/>
      <c r="AM30" s="61">
        <f t="shared" si="8"/>
        <v>0</v>
      </c>
      <c r="AN30" s="62"/>
      <c r="AO30" s="62"/>
      <c r="AP30" s="63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D30" s="33"/>
    </row>
    <row r="31" spans="1:108" ht="18.75" customHeight="1">
      <c r="A31" s="65"/>
      <c r="B31" s="65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8"/>
      <c r="AF31" s="58"/>
      <c r="AG31" s="57"/>
      <c r="AH31" s="58"/>
      <c r="AI31" s="59"/>
      <c r="AJ31" s="60"/>
      <c r="AK31" s="59"/>
      <c r="AL31" s="60"/>
      <c r="AM31" s="61">
        <f t="shared" si="8"/>
        <v>0</v>
      </c>
      <c r="AN31" s="62"/>
      <c r="AO31" s="62"/>
      <c r="AP31" s="63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D31" s="33"/>
    </row>
    <row r="32" spans="1:108" ht="18.75" customHeight="1">
      <c r="A32" s="65"/>
      <c r="B32" s="65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8"/>
      <c r="AF32" s="58"/>
      <c r="AG32" s="57"/>
      <c r="AH32" s="58"/>
      <c r="AI32" s="59"/>
      <c r="AJ32" s="60"/>
      <c r="AK32" s="59"/>
      <c r="AL32" s="60"/>
      <c r="AM32" s="61">
        <f t="shared" si="8"/>
        <v>0</v>
      </c>
      <c r="AN32" s="62"/>
      <c r="AO32" s="62"/>
      <c r="AP32" s="63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D32" s="33"/>
    </row>
    <row r="33" spans="1:108" ht="18.75" customHeight="1">
      <c r="A33" s="65"/>
      <c r="B33" s="65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8"/>
      <c r="AF33" s="58"/>
      <c r="AG33" s="57"/>
      <c r="AH33" s="58"/>
      <c r="AI33" s="59"/>
      <c r="AJ33" s="60"/>
      <c r="AK33" s="59"/>
      <c r="AL33" s="60"/>
      <c r="AM33" s="61">
        <f t="shared" si="8"/>
        <v>0</v>
      </c>
      <c r="AN33" s="62"/>
      <c r="AO33" s="62"/>
      <c r="AP33" s="63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D33" s="33"/>
    </row>
    <row r="34" spans="1:108" ht="18.75" customHeight="1">
      <c r="A34" s="65"/>
      <c r="B34" s="65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8"/>
      <c r="AF34" s="58"/>
      <c r="AG34" s="57"/>
      <c r="AH34" s="58"/>
      <c r="AI34" s="59"/>
      <c r="AJ34" s="60"/>
      <c r="AK34" s="59"/>
      <c r="AL34" s="60"/>
      <c r="AM34" s="61">
        <f t="shared" si="8"/>
        <v>0</v>
      </c>
      <c r="AN34" s="62"/>
      <c r="AO34" s="62"/>
      <c r="AP34" s="63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D34" s="33"/>
    </row>
    <row r="35" spans="1:108" ht="18.75" customHeight="1">
      <c r="A35" s="65"/>
      <c r="B35" s="65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8"/>
      <c r="AF35" s="58"/>
      <c r="AG35" s="57"/>
      <c r="AH35" s="58"/>
      <c r="AI35" s="59"/>
      <c r="AJ35" s="60"/>
      <c r="AK35" s="59"/>
      <c r="AL35" s="60"/>
      <c r="AM35" s="61">
        <f t="shared" si="8"/>
        <v>0</v>
      </c>
      <c r="AN35" s="62"/>
      <c r="AO35" s="62"/>
      <c r="AP35" s="63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D35" s="33"/>
    </row>
    <row r="36" spans="1:108" ht="18.75" customHeight="1">
      <c r="AM36" s="64">
        <f>SUM(AM8:AP35)</f>
        <v>0</v>
      </c>
      <c r="AN36" s="64"/>
      <c r="AO36" s="64"/>
      <c r="AP36" s="64"/>
      <c r="AQ36" s="1" t="s">
        <v>27</v>
      </c>
    </row>
    <row r="37" spans="1:108" ht="18.75" customHeight="1"/>
    <row r="38" spans="1:108" ht="18.75" customHeight="1"/>
    <row r="39" spans="1:108" ht="18.75" customHeight="1"/>
    <row r="40" spans="1:108" ht="18.75" customHeight="1"/>
    <row r="41" spans="1:108" ht="18.75" customHeight="1"/>
    <row r="42" spans="1:108" ht="18.75" customHeight="1"/>
  </sheetData>
  <mergeCells count="405">
    <mergeCell ref="AG35:AH35"/>
    <mergeCell ref="AI35:AJ35"/>
    <mergeCell ref="AK35:AL35"/>
    <mergeCell ref="AM35:AP35"/>
    <mergeCell ref="AM36:AP36"/>
    <mergeCell ref="AM34:AP34"/>
    <mergeCell ref="A35:B35"/>
    <mergeCell ref="C35:G35"/>
    <mergeCell ref="H35:O35"/>
    <mergeCell ref="P35:R35"/>
    <mergeCell ref="S35:U35"/>
    <mergeCell ref="V35:X35"/>
    <mergeCell ref="Y35:AA35"/>
    <mergeCell ref="AB35:AD35"/>
    <mergeCell ref="AE35:AF35"/>
    <mergeCell ref="Y34:AA34"/>
    <mergeCell ref="AB34:AD34"/>
    <mergeCell ref="AE34:AF34"/>
    <mergeCell ref="AG34:AH34"/>
    <mergeCell ref="AI34:AJ34"/>
    <mergeCell ref="AK34:AL34"/>
    <mergeCell ref="AG33:AH33"/>
    <mergeCell ref="AI33:AJ33"/>
    <mergeCell ref="AK33:AL33"/>
    <mergeCell ref="AM33:AP33"/>
    <mergeCell ref="A34:B34"/>
    <mergeCell ref="C34:G34"/>
    <mergeCell ref="H34:O34"/>
    <mergeCell ref="P34:R34"/>
    <mergeCell ref="S34:U34"/>
    <mergeCell ref="V34:X34"/>
    <mergeCell ref="A33:B33"/>
    <mergeCell ref="C33:G33"/>
    <mergeCell ref="H33:O33"/>
    <mergeCell ref="P33:R33"/>
    <mergeCell ref="S33:U33"/>
    <mergeCell ref="V33:X33"/>
    <mergeCell ref="Y33:AA33"/>
    <mergeCell ref="AB33:AD33"/>
    <mergeCell ref="AE33:AF33"/>
    <mergeCell ref="AG31:AH31"/>
    <mergeCell ref="AI31:AJ31"/>
    <mergeCell ref="AK31:AL31"/>
    <mergeCell ref="AM31:AP31"/>
    <mergeCell ref="A32:B32"/>
    <mergeCell ref="C32:G32"/>
    <mergeCell ref="H32:O32"/>
    <mergeCell ref="P32:R32"/>
    <mergeCell ref="S32:U32"/>
    <mergeCell ref="V32:X32"/>
    <mergeCell ref="AM32:AP32"/>
    <mergeCell ref="Y32:AA32"/>
    <mergeCell ref="AB32:AD32"/>
    <mergeCell ref="AE32:AF32"/>
    <mergeCell ref="AG32:AH32"/>
    <mergeCell ref="AI32:AJ32"/>
    <mergeCell ref="AK32:AL32"/>
    <mergeCell ref="A31:B31"/>
    <mergeCell ref="C31:G31"/>
    <mergeCell ref="H31:O31"/>
    <mergeCell ref="P31:R31"/>
    <mergeCell ref="S31:U31"/>
    <mergeCell ref="V31:X31"/>
    <mergeCell ref="Y31:AA31"/>
    <mergeCell ref="AB31:AD31"/>
    <mergeCell ref="AE31:AF31"/>
    <mergeCell ref="AG29:AH29"/>
    <mergeCell ref="AI29:AJ29"/>
    <mergeCell ref="AK29:AL29"/>
    <mergeCell ref="AM29:AP29"/>
    <mergeCell ref="A30:B30"/>
    <mergeCell ref="C30:G30"/>
    <mergeCell ref="H30:O30"/>
    <mergeCell ref="P30:R30"/>
    <mergeCell ref="S30:U30"/>
    <mergeCell ref="V30:X30"/>
    <mergeCell ref="AM30:AP30"/>
    <mergeCell ref="Y30:AA30"/>
    <mergeCell ref="AB30:AD30"/>
    <mergeCell ref="AE30:AF30"/>
    <mergeCell ref="AG30:AH30"/>
    <mergeCell ref="AI30:AJ30"/>
    <mergeCell ref="AK30:AL30"/>
    <mergeCell ref="A29:B29"/>
    <mergeCell ref="C29:G29"/>
    <mergeCell ref="H29:O29"/>
    <mergeCell ref="P29:R29"/>
    <mergeCell ref="S29:U29"/>
    <mergeCell ref="V29:X29"/>
    <mergeCell ref="Y29:AA29"/>
    <mergeCell ref="AB29:AD29"/>
    <mergeCell ref="AE29:AF29"/>
    <mergeCell ref="AG27:AH27"/>
    <mergeCell ref="AI27:AJ27"/>
    <mergeCell ref="AK27:AL27"/>
    <mergeCell ref="AM27:AP27"/>
    <mergeCell ref="A28:B28"/>
    <mergeCell ref="C28:G28"/>
    <mergeCell ref="H28:O28"/>
    <mergeCell ref="P28:R28"/>
    <mergeCell ref="S28:U28"/>
    <mergeCell ref="V28:X28"/>
    <mergeCell ref="AM28:AP28"/>
    <mergeCell ref="Y28:AA28"/>
    <mergeCell ref="AB28:AD28"/>
    <mergeCell ref="AE28:AF28"/>
    <mergeCell ref="AG28:AH28"/>
    <mergeCell ref="AI28:AJ28"/>
    <mergeCell ref="AK28:AL28"/>
    <mergeCell ref="A27:B27"/>
    <mergeCell ref="C27:G27"/>
    <mergeCell ref="H27:O27"/>
    <mergeCell ref="P27:R27"/>
    <mergeCell ref="S27:U27"/>
    <mergeCell ref="V27:X27"/>
    <mergeCell ref="Y27:AA27"/>
    <mergeCell ref="AB27:AD27"/>
    <mergeCell ref="AE27:AF27"/>
    <mergeCell ref="AG25:AH25"/>
    <mergeCell ref="AI25:AJ25"/>
    <mergeCell ref="AK25:AL25"/>
    <mergeCell ref="AM25:AP25"/>
    <mergeCell ref="A26:B26"/>
    <mergeCell ref="C26:G26"/>
    <mergeCell ref="H26:O26"/>
    <mergeCell ref="P26:R26"/>
    <mergeCell ref="S26:U26"/>
    <mergeCell ref="V26:X26"/>
    <mergeCell ref="AM26:AP26"/>
    <mergeCell ref="Y26:AA26"/>
    <mergeCell ref="AB26:AD26"/>
    <mergeCell ref="AE26:AF26"/>
    <mergeCell ref="AG26:AH26"/>
    <mergeCell ref="AI26:AJ26"/>
    <mergeCell ref="AK26:AL26"/>
    <mergeCell ref="A25:B25"/>
    <mergeCell ref="C25:G25"/>
    <mergeCell ref="H25:O25"/>
    <mergeCell ref="P25:R25"/>
    <mergeCell ref="S25:U25"/>
    <mergeCell ref="V25:X25"/>
    <mergeCell ref="Y25:AA25"/>
    <mergeCell ref="AB25:AD25"/>
    <mergeCell ref="AE25:AF25"/>
    <mergeCell ref="AG23:AH23"/>
    <mergeCell ref="AI23:AJ23"/>
    <mergeCell ref="AK23:AL23"/>
    <mergeCell ref="AM23:AP23"/>
    <mergeCell ref="A24:B24"/>
    <mergeCell ref="C24:G24"/>
    <mergeCell ref="H24:O24"/>
    <mergeCell ref="P24:R24"/>
    <mergeCell ref="S24:U24"/>
    <mergeCell ref="V24:X24"/>
    <mergeCell ref="AM24:AP24"/>
    <mergeCell ref="Y24:AA24"/>
    <mergeCell ref="AB24:AD24"/>
    <mergeCell ref="AE24:AF24"/>
    <mergeCell ref="AG24:AH24"/>
    <mergeCell ref="AI24:AJ24"/>
    <mergeCell ref="AK24:AL24"/>
    <mergeCell ref="A23:B23"/>
    <mergeCell ref="C23:G23"/>
    <mergeCell ref="H23:O23"/>
    <mergeCell ref="P23:R23"/>
    <mergeCell ref="S23:U23"/>
    <mergeCell ref="V23:X23"/>
    <mergeCell ref="Y23:AA23"/>
    <mergeCell ref="AB23:AD23"/>
    <mergeCell ref="AE23:AF23"/>
    <mergeCell ref="AG21:AH21"/>
    <mergeCell ref="AI21:AJ21"/>
    <mergeCell ref="AK21:AL21"/>
    <mergeCell ref="AM21:AP21"/>
    <mergeCell ref="A22:B22"/>
    <mergeCell ref="C22:G22"/>
    <mergeCell ref="H22:O22"/>
    <mergeCell ref="P22:R22"/>
    <mergeCell ref="S22:U22"/>
    <mergeCell ref="V22:X22"/>
    <mergeCell ref="AM22:AP22"/>
    <mergeCell ref="Y22:AA22"/>
    <mergeCell ref="AB22:AD22"/>
    <mergeCell ref="AE22:AF22"/>
    <mergeCell ref="AG22:AH22"/>
    <mergeCell ref="AI22:AJ22"/>
    <mergeCell ref="AK22:AL22"/>
    <mergeCell ref="A21:B21"/>
    <mergeCell ref="C21:G21"/>
    <mergeCell ref="H21:O21"/>
    <mergeCell ref="P21:R21"/>
    <mergeCell ref="S21:U21"/>
    <mergeCell ref="V21:X21"/>
    <mergeCell ref="Y21:AA21"/>
    <mergeCell ref="AB21:AD21"/>
    <mergeCell ref="AE21:AF21"/>
    <mergeCell ref="AI19:AJ19"/>
    <mergeCell ref="AK19:AL19"/>
    <mergeCell ref="AM19:AP19"/>
    <mergeCell ref="A20:B20"/>
    <mergeCell ref="C20:G20"/>
    <mergeCell ref="H20:O20"/>
    <mergeCell ref="P20:R20"/>
    <mergeCell ref="S20:U20"/>
    <mergeCell ref="V20:X20"/>
    <mergeCell ref="AM20:AP20"/>
    <mergeCell ref="Y20:AA20"/>
    <mergeCell ref="AB20:AD20"/>
    <mergeCell ref="AE20:AF20"/>
    <mergeCell ref="AG20:AH20"/>
    <mergeCell ref="AI20:AJ20"/>
    <mergeCell ref="AK20:AL20"/>
    <mergeCell ref="AM17:AP17"/>
    <mergeCell ref="A18:B18"/>
    <mergeCell ref="C18:G18"/>
    <mergeCell ref="H18:O18"/>
    <mergeCell ref="P18:R18"/>
    <mergeCell ref="S18:U18"/>
    <mergeCell ref="V18:X18"/>
    <mergeCell ref="AM18:AP18"/>
    <mergeCell ref="A19:B19"/>
    <mergeCell ref="C19:G19"/>
    <mergeCell ref="H19:O19"/>
    <mergeCell ref="P19:R19"/>
    <mergeCell ref="S19:U19"/>
    <mergeCell ref="V19:X19"/>
    <mergeCell ref="Y19:AA19"/>
    <mergeCell ref="AB19:AD19"/>
    <mergeCell ref="AE19:AF19"/>
    <mergeCell ref="Y18:AA18"/>
    <mergeCell ref="AB18:AD18"/>
    <mergeCell ref="AE18:AF18"/>
    <mergeCell ref="AG18:AH18"/>
    <mergeCell ref="AI18:AJ18"/>
    <mergeCell ref="AK18:AL18"/>
    <mergeCell ref="AG19:AH19"/>
    <mergeCell ref="A16:B16"/>
    <mergeCell ref="C16:G16"/>
    <mergeCell ref="P16:R16"/>
    <mergeCell ref="S16:U16"/>
    <mergeCell ref="V16:X16"/>
    <mergeCell ref="AM16:AP16"/>
    <mergeCell ref="A17:B17"/>
    <mergeCell ref="C17:G17"/>
    <mergeCell ref="H17:O17"/>
    <mergeCell ref="P17:R17"/>
    <mergeCell ref="S17:U17"/>
    <mergeCell ref="V17:X17"/>
    <mergeCell ref="Y17:AA17"/>
    <mergeCell ref="AB17:AD17"/>
    <mergeCell ref="AE17:AF17"/>
    <mergeCell ref="Y16:AA16"/>
    <mergeCell ref="AB16:AD16"/>
    <mergeCell ref="AE16:AF16"/>
    <mergeCell ref="AG16:AH16"/>
    <mergeCell ref="AI16:AJ16"/>
    <mergeCell ref="AK16:AL16"/>
    <mergeCell ref="AG17:AH17"/>
    <mergeCell ref="AI17:AJ17"/>
    <mergeCell ref="AK17:AL17"/>
    <mergeCell ref="AK14:AL14"/>
    <mergeCell ref="AM14:AP14"/>
    <mergeCell ref="A15:B15"/>
    <mergeCell ref="P15:R15"/>
    <mergeCell ref="S15:U15"/>
    <mergeCell ref="V15:X15"/>
    <mergeCell ref="Y15:AA15"/>
    <mergeCell ref="AB15:AD15"/>
    <mergeCell ref="C15:G15"/>
    <mergeCell ref="AE15:AF15"/>
    <mergeCell ref="AG15:AH15"/>
    <mergeCell ref="AI15:AJ15"/>
    <mergeCell ref="AK15:AL15"/>
    <mergeCell ref="AM15:AP15"/>
    <mergeCell ref="AM13:AP13"/>
    <mergeCell ref="A14:B14"/>
    <mergeCell ref="C14:G14"/>
    <mergeCell ref="H14:O14"/>
    <mergeCell ref="P14:R14"/>
    <mergeCell ref="S14:U14"/>
    <mergeCell ref="V14:X14"/>
    <mergeCell ref="Y14:AA14"/>
    <mergeCell ref="AB14:AD14"/>
    <mergeCell ref="AE14:AF14"/>
    <mergeCell ref="Y13:AA13"/>
    <mergeCell ref="AB13:AD13"/>
    <mergeCell ref="AE13:AF13"/>
    <mergeCell ref="AG13:AH13"/>
    <mergeCell ref="AI13:AJ13"/>
    <mergeCell ref="AK13:AL13"/>
    <mergeCell ref="A13:B13"/>
    <mergeCell ref="C13:G13"/>
    <mergeCell ref="H13:O13"/>
    <mergeCell ref="P13:R13"/>
    <mergeCell ref="S13:U13"/>
    <mergeCell ref="V13:X13"/>
    <mergeCell ref="AG14:AH14"/>
    <mergeCell ref="AI14:AJ14"/>
    <mergeCell ref="AB12:AD12"/>
    <mergeCell ref="AE12:AF12"/>
    <mergeCell ref="AG12:AH12"/>
    <mergeCell ref="AI12:AJ12"/>
    <mergeCell ref="AK12:AL12"/>
    <mergeCell ref="AM12:AP12"/>
    <mergeCell ref="A12:B12"/>
    <mergeCell ref="C12:G12"/>
    <mergeCell ref="P12:R12"/>
    <mergeCell ref="S12:U12"/>
    <mergeCell ref="V12:X12"/>
    <mergeCell ref="Y12:AA12"/>
    <mergeCell ref="AE11:AF11"/>
    <mergeCell ref="AG11:AH11"/>
    <mergeCell ref="AI11:AJ11"/>
    <mergeCell ref="AK11:AL11"/>
    <mergeCell ref="AM11:AP11"/>
    <mergeCell ref="AG10:AH10"/>
    <mergeCell ref="AI10:AJ10"/>
    <mergeCell ref="AK10:AL10"/>
    <mergeCell ref="AM10:AP10"/>
    <mergeCell ref="A11:B11"/>
    <mergeCell ref="C11:G11"/>
    <mergeCell ref="P11:R11"/>
    <mergeCell ref="S11:U11"/>
    <mergeCell ref="V11:X11"/>
    <mergeCell ref="Y11:AA11"/>
    <mergeCell ref="AM9:AP9"/>
    <mergeCell ref="A10:B10"/>
    <mergeCell ref="C10:G10"/>
    <mergeCell ref="H10:O10"/>
    <mergeCell ref="P10:R10"/>
    <mergeCell ref="S10:U10"/>
    <mergeCell ref="V10:X10"/>
    <mergeCell ref="Y10:AA10"/>
    <mergeCell ref="AB10:AD10"/>
    <mergeCell ref="AE10:AF10"/>
    <mergeCell ref="Y9:AA9"/>
    <mergeCell ref="AB9:AD9"/>
    <mergeCell ref="AE9:AF9"/>
    <mergeCell ref="AG9:AH9"/>
    <mergeCell ref="AI9:AJ9"/>
    <mergeCell ref="AK9:AL9"/>
    <mergeCell ref="H11:O11"/>
    <mergeCell ref="AB11:AD11"/>
    <mergeCell ref="H7:O7"/>
    <mergeCell ref="P7:R7"/>
    <mergeCell ref="S7:U7"/>
    <mergeCell ref="V7:X7"/>
    <mergeCell ref="AG8:AH8"/>
    <mergeCell ref="AI8:AJ8"/>
    <mergeCell ref="AK8:AL8"/>
    <mergeCell ref="AM8:AP8"/>
    <mergeCell ref="A9:B9"/>
    <mergeCell ref="C9:G9"/>
    <mergeCell ref="H9:O9"/>
    <mergeCell ref="P9:R9"/>
    <mergeCell ref="S9:U9"/>
    <mergeCell ref="V9:X9"/>
    <mergeCell ref="S5:U6"/>
    <mergeCell ref="V5:X6"/>
    <mergeCell ref="Y5:AA6"/>
    <mergeCell ref="AB5:AD6"/>
    <mergeCell ref="AE5:AF6"/>
    <mergeCell ref="AG5:AH6"/>
    <mergeCell ref="AM7:AP7"/>
    <mergeCell ref="A8:B8"/>
    <mergeCell ref="C8:G8"/>
    <mergeCell ref="H8:O8"/>
    <mergeCell ref="P8:R8"/>
    <mergeCell ref="S8:U8"/>
    <mergeCell ref="V8:X8"/>
    <mergeCell ref="Y8:AA8"/>
    <mergeCell ref="AB8:AD8"/>
    <mergeCell ref="AE8:AF8"/>
    <mergeCell ref="Y7:AA7"/>
    <mergeCell ref="AB7:AD7"/>
    <mergeCell ref="AE7:AF7"/>
    <mergeCell ref="AG7:AH7"/>
    <mergeCell ref="AI7:AJ7"/>
    <mergeCell ref="AK7:AL7"/>
    <mergeCell ref="A7:B7"/>
    <mergeCell ref="C7:G7"/>
    <mergeCell ref="A4:B6"/>
    <mergeCell ref="C4:G6"/>
    <mergeCell ref="H4:O6"/>
    <mergeCell ref="P4:R6"/>
    <mergeCell ref="S4:X4"/>
    <mergeCell ref="Y4:AD4"/>
    <mergeCell ref="AQ1:AT1"/>
    <mergeCell ref="AU1:BA1"/>
    <mergeCell ref="S2:V2"/>
    <mergeCell ref="W2:AC2"/>
    <mergeCell ref="AD2:AG2"/>
    <mergeCell ref="AH2:AP2"/>
    <mergeCell ref="AQ2:AT2"/>
    <mergeCell ref="AU2:BA2"/>
    <mergeCell ref="A1:G2"/>
    <mergeCell ref="H1:R2"/>
    <mergeCell ref="S1:V1"/>
    <mergeCell ref="W1:AC1"/>
    <mergeCell ref="AD1:AG1"/>
    <mergeCell ref="AH1:AP1"/>
    <mergeCell ref="AE4:AH4"/>
    <mergeCell ref="AI4:AJ6"/>
    <mergeCell ref="AK4:AL6"/>
    <mergeCell ref="AM4:AP6"/>
  </mergeCells>
  <phoneticPr fontId="1"/>
  <conditionalFormatting sqref="AQ5:AQ6">
    <cfRule type="expression" dxfId="7" priority="1">
      <formula>TEXT(AQ5,"aaa")="日"</formula>
    </cfRule>
  </conditionalFormatting>
  <conditionalFormatting sqref="AQ4:DB4">
    <cfRule type="notContainsBlanks" dxfId="6" priority="4">
      <formula>LEN(TRIM(AQ4))&gt;0</formula>
    </cfRule>
  </conditionalFormatting>
  <conditionalFormatting sqref="AQ5:DB6">
    <cfRule type="expression" dxfId="5" priority="2">
      <formula>TEXT(AQ5,"aaa")="土"</formula>
    </cfRule>
  </conditionalFormatting>
  <conditionalFormatting sqref="AR5:DB6">
    <cfRule type="expression" dxfId="4" priority="3">
      <formula>TEXT(AR5,"aaa")="日"</formula>
    </cfRule>
  </conditionalFormatting>
  <pageMargins left="0.19685039370078741" right="0.19685039370078741" top="0.19685039370078741" bottom="0.19685039370078741" header="0.31496062992125984" footer="0.31496062992125984"/>
  <pageSetup paperSize="9" scale="70" orientation="landscape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28316-FE1B-4B8B-A836-FAE416983577}">
  <dimension ref="A1:V33"/>
  <sheetViews>
    <sheetView zoomScale="130" zoomScaleNormal="130" workbookViewId="0">
      <selection activeCell="L14" sqref="L14"/>
    </sheetView>
  </sheetViews>
  <sheetFormatPr baseColWidth="10" defaultColWidth="8.83203125" defaultRowHeight="15"/>
  <cols>
    <col min="3" max="3" width="0" hidden="1" customWidth="1"/>
    <col min="4" max="4" width="3.6640625" customWidth="1"/>
    <col min="5" max="5" width="12.83203125" customWidth="1"/>
    <col min="6" max="7" width="4" customWidth="1"/>
    <col min="8" max="9" width="8.5" customWidth="1"/>
    <col min="11" max="11" width="3.33203125" customWidth="1"/>
    <col min="12" max="12" width="10" bestFit="1" customWidth="1"/>
    <col min="14" max="14" width="11.33203125" customWidth="1"/>
    <col min="15" max="15" width="8.5" customWidth="1"/>
    <col min="16" max="16" width="14.33203125" customWidth="1"/>
    <col min="17" max="18" width="12.83203125" customWidth="1"/>
  </cols>
  <sheetData>
    <row r="1" spans="1:22">
      <c r="A1" t="s">
        <v>112</v>
      </c>
    </row>
    <row r="2" spans="1:22">
      <c r="A2" t="s">
        <v>54</v>
      </c>
    </row>
    <row r="3" spans="1:22">
      <c r="A3" s="16" t="s">
        <v>40</v>
      </c>
      <c r="B3" s="16"/>
      <c r="E3" s="16" t="s">
        <v>28</v>
      </c>
      <c r="I3" t="s">
        <v>127</v>
      </c>
      <c r="J3" s="16" t="s">
        <v>48</v>
      </c>
      <c r="L3" s="17" t="s">
        <v>36</v>
      </c>
      <c r="N3" s="17" t="s">
        <v>1</v>
      </c>
      <c r="O3" s="17" t="s">
        <v>35</v>
      </c>
      <c r="P3" s="24">
        <v>23</v>
      </c>
      <c r="Q3" s="44" t="s">
        <v>129</v>
      </c>
      <c r="R3" s="44"/>
      <c r="S3" s="48">
        <v>45911</v>
      </c>
      <c r="T3" s="48">
        <v>45912</v>
      </c>
      <c r="U3" s="48">
        <v>45913</v>
      </c>
      <c r="V3" s="48">
        <v>45914</v>
      </c>
    </row>
    <row r="4" spans="1:22" ht="18.5" customHeight="1">
      <c r="A4" t="s">
        <v>19</v>
      </c>
      <c r="B4" t="s">
        <v>41</v>
      </c>
      <c r="C4" s="14" t="s">
        <v>23</v>
      </c>
      <c r="D4" s="14" t="s">
        <v>133</v>
      </c>
      <c r="E4">
        <v>6</v>
      </c>
      <c r="F4" t="s">
        <v>47</v>
      </c>
      <c r="G4" t="s">
        <v>135</v>
      </c>
      <c r="H4">
        <v>5</v>
      </c>
      <c r="I4">
        <f>E4*8</f>
        <v>48</v>
      </c>
      <c r="J4" t="s">
        <v>37</v>
      </c>
      <c r="L4" t="s">
        <v>38</v>
      </c>
      <c r="M4">
        <v>160</v>
      </c>
      <c r="N4" s="15">
        <v>45870</v>
      </c>
      <c r="O4" s="15">
        <v>45905</v>
      </c>
      <c r="P4" t="s">
        <v>55</v>
      </c>
    </row>
    <row r="5" spans="1:22">
      <c r="A5">
        <v>30</v>
      </c>
      <c r="B5" t="s">
        <v>42</v>
      </c>
      <c r="C5" t="s">
        <v>26</v>
      </c>
      <c r="D5" t="s">
        <v>131</v>
      </c>
      <c r="E5">
        <v>5</v>
      </c>
      <c r="F5" t="s">
        <v>47</v>
      </c>
      <c r="G5" t="s">
        <v>133</v>
      </c>
      <c r="H5">
        <v>6</v>
      </c>
      <c r="I5">
        <f>E5*8</f>
        <v>40</v>
      </c>
      <c r="L5" t="s">
        <v>39</v>
      </c>
      <c r="M5">
        <v>180</v>
      </c>
      <c r="R5" t="s">
        <v>141</v>
      </c>
    </row>
    <row r="6" spans="1:22" ht="18" customHeight="1">
      <c r="B6" t="s">
        <v>43</v>
      </c>
      <c r="C6" s="14" t="s">
        <v>24</v>
      </c>
      <c r="D6" s="14" t="s">
        <v>131</v>
      </c>
      <c r="E6">
        <v>5</v>
      </c>
      <c r="F6" t="s">
        <v>47</v>
      </c>
      <c r="G6" t="s">
        <v>134</v>
      </c>
      <c r="H6">
        <v>7</v>
      </c>
      <c r="I6">
        <f>E6*8</f>
        <v>40</v>
      </c>
      <c r="L6" t="s">
        <v>64</v>
      </c>
    </row>
    <row r="7" spans="1:22">
      <c r="B7" t="s">
        <v>44</v>
      </c>
      <c r="D7" t="s">
        <v>132</v>
      </c>
      <c r="E7">
        <v>6</v>
      </c>
      <c r="F7" t="s">
        <v>47</v>
      </c>
      <c r="I7">
        <f>E7*8</f>
        <v>48</v>
      </c>
      <c r="L7" t="s">
        <v>125</v>
      </c>
    </row>
    <row r="8" spans="1:22" ht="16">
      <c r="B8" t="s">
        <v>45</v>
      </c>
      <c r="D8" s="14" t="s">
        <v>134</v>
      </c>
      <c r="E8">
        <v>7</v>
      </c>
      <c r="F8" t="s">
        <v>47</v>
      </c>
      <c r="I8">
        <f>E8*8</f>
        <v>56</v>
      </c>
    </row>
    <row r="9" spans="1:22">
      <c r="E9" s="25">
        <f>SUM(E4:E8)</f>
        <v>29</v>
      </c>
    </row>
    <row r="11" spans="1:22">
      <c r="A11" t="s">
        <v>20</v>
      </c>
      <c r="B11" t="s">
        <v>21</v>
      </c>
      <c r="C11" t="s">
        <v>25</v>
      </c>
      <c r="E11">
        <v>7</v>
      </c>
      <c r="F11" t="s">
        <v>47</v>
      </c>
      <c r="I11">
        <f t="shared" ref="I11:I17" si="0">E11*8</f>
        <v>56</v>
      </c>
      <c r="L11" s="43"/>
      <c r="N11" t="s">
        <v>128</v>
      </c>
      <c r="O11" s="36">
        <f>I28/P3</f>
        <v>35.478260869565219</v>
      </c>
      <c r="P11" t="s">
        <v>130</v>
      </c>
      <c r="Q11" s="45">
        <f>O11/4</f>
        <v>8.8695652173913047</v>
      </c>
      <c r="R11" s="45"/>
    </row>
    <row r="12" spans="1:22">
      <c r="A12">
        <v>40</v>
      </c>
      <c r="B12" t="s">
        <v>22</v>
      </c>
      <c r="E12">
        <v>4</v>
      </c>
      <c r="F12" t="s">
        <v>47</v>
      </c>
      <c r="I12">
        <f t="shared" si="0"/>
        <v>32</v>
      </c>
      <c r="N12" s="42">
        <v>19</v>
      </c>
      <c r="O12" s="46">
        <v>21</v>
      </c>
      <c r="P12" s="42">
        <v>22</v>
      </c>
      <c r="Q12" s="42">
        <v>23</v>
      </c>
      <c r="R12" s="47">
        <v>20</v>
      </c>
      <c r="S12" s="42">
        <v>24</v>
      </c>
      <c r="T12" s="42" t="s">
        <v>47</v>
      </c>
    </row>
    <row r="13" spans="1:22">
      <c r="B13" t="s">
        <v>30</v>
      </c>
      <c r="E13">
        <v>6</v>
      </c>
      <c r="F13" t="s">
        <v>47</v>
      </c>
      <c r="I13">
        <f t="shared" si="0"/>
        <v>48</v>
      </c>
      <c r="N13" s="42">
        <v>4</v>
      </c>
      <c r="O13" s="46">
        <v>4</v>
      </c>
      <c r="P13" s="42">
        <v>4</v>
      </c>
      <c r="Q13" s="42">
        <v>4</v>
      </c>
      <c r="R13" s="47">
        <v>4</v>
      </c>
      <c r="S13" s="42">
        <v>4</v>
      </c>
      <c r="T13" s="42" t="s">
        <v>114</v>
      </c>
    </row>
    <row r="14" spans="1:22">
      <c r="B14" t="s">
        <v>31</v>
      </c>
      <c r="E14">
        <v>5</v>
      </c>
      <c r="F14" t="s">
        <v>47</v>
      </c>
      <c r="I14">
        <f t="shared" si="0"/>
        <v>40</v>
      </c>
      <c r="N14" s="42">
        <v>11</v>
      </c>
      <c r="O14" s="46">
        <v>10</v>
      </c>
      <c r="P14" s="42">
        <v>9.5</v>
      </c>
      <c r="Q14" s="42">
        <v>9</v>
      </c>
      <c r="R14" s="47">
        <v>10.5</v>
      </c>
      <c r="S14" s="42">
        <v>8</v>
      </c>
      <c r="T14" s="42" t="s">
        <v>115</v>
      </c>
    </row>
    <row r="15" spans="1:22">
      <c r="B15" t="s">
        <v>32</v>
      </c>
      <c r="E15">
        <v>8</v>
      </c>
      <c r="F15" t="s">
        <v>47</v>
      </c>
      <c r="I15">
        <f t="shared" si="0"/>
        <v>64</v>
      </c>
      <c r="N15" s="42">
        <f t="shared" ref="N15:S15" si="1">N12*N13*N14</f>
        <v>836</v>
      </c>
      <c r="O15" s="46">
        <f t="shared" si="1"/>
        <v>840</v>
      </c>
      <c r="P15" s="42">
        <f t="shared" si="1"/>
        <v>836</v>
      </c>
      <c r="Q15" s="42">
        <f t="shared" si="1"/>
        <v>828</v>
      </c>
      <c r="R15" s="47">
        <f t="shared" si="1"/>
        <v>840</v>
      </c>
      <c r="S15" s="42">
        <f t="shared" si="1"/>
        <v>768</v>
      </c>
      <c r="T15" s="42"/>
    </row>
    <row r="16" spans="1:22">
      <c r="B16" t="s">
        <v>33</v>
      </c>
      <c r="E16">
        <v>3</v>
      </c>
      <c r="F16" t="s">
        <v>47</v>
      </c>
      <c r="I16">
        <f t="shared" si="0"/>
        <v>24</v>
      </c>
    </row>
    <row r="17" spans="1:18">
      <c r="B17" t="s">
        <v>34</v>
      </c>
      <c r="E17">
        <v>5</v>
      </c>
      <c r="F17" t="s">
        <v>47</v>
      </c>
      <c r="I17">
        <f t="shared" si="0"/>
        <v>40</v>
      </c>
      <c r="N17" s="21"/>
      <c r="P17" s="21"/>
    </row>
    <row r="18" spans="1:18">
      <c r="E18" s="25">
        <f>SUM(E11:E17)</f>
        <v>38</v>
      </c>
    </row>
    <row r="19" spans="1:18">
      <c r="M19" s="22"/>
    </row>
    <row r="20" spans="1:18">
      <c r="A20" t="s">
        <v>65</v>
      </c>
      <c r="B20" t="s">
        <v>66</v>
      </c>
      <c r="E20">
        <v>3</v>
      </c>
      <c r="F20" t="s">
        <v>47</v>
      </c>
      <c r="I20">
        <f t="shared" ref="I20:I25" si="2">E20*8</f>
        <v>24</v>
      </c>
      <c r="M20" s="22"/>
      <c r="O20" t="s">
        <v>136</v>
      </c>
      <c r="P20" t="s">
        <v>137</v>
      </c>
      <c r="Q20" t="s">
        <v>138</v>
      </c>
      <c r="R20" t="s">
        <v>139</v>
      </c>
    </row>
    <row r="21" spans="1:18">
      <c r="A21">
        <v>40</v>
      </c>
      <c r="B21" t="s">
        <v>67</v>
      </c>
      <c r="E21">
        <v>6</v>
      </c>
      <c r="F21" t="s">
        <v>47</v>
      </c>
      <c r="I21">
        <f t="shared" si="2"/>
        <v>48</v>
      </c>
      <c r="M21" s="22"/>
      <c r="O21" t="s">
        <v>140</v>
      </c>
    </row>
    <row r="22" spans="1:18">
      <c r="B22" t="s">
        <v>68</v>
      </c>
      <c r="E22">
        <v>9</v>
      </c>
      <c r="F22" t="s">
        <v>47</v>
      </c>
      <c r="I22">
        <f t="shared" si="2"/>
        <v>72</v>
      </c>
      <c r="M22" s="22"/>
    </row>
    <row r="23" spans="1:18">
      <c r="B23" t="s">
        <v>69</v>
      </c>
      <c r="E23">
        <v>5</v>
      </c>
      <c r="F23" t="s">
        <v>47</v>
      </c>
      <c r="I23">
        <f t="shared" si="2"/>
        <v>40</v>
      </c>
      <c r="M23" s="22"/>
    </row>
    <row r="24" spans="1:18">
      <c r="B24" t="s">
        <v>70</v>
      </c>
      <c r="E24">
        <v>5</v>
      </c>
      <c r="F24" t="s">
        <v>47</v>
      </c>
      <c r="I24">
        <f t="shared" si="2"/>
        <v>40</v>
      </c>
      <c r="M24" s="22"/>
    </row>
    <row r="25" spans="1:18">
      <c r="B25" t="s">
        <v>126</v>
      </c>
      <c r="E25">
        <v>7</v>
      </c>
      <c r="F25" t="s">
        <v>47</v>
      </c>
      <c r="I25">
        <f t="shared" si="2"/>
        <v>56</v>
      </c>
      <c r="M25" s="22"/>
    </row>
    <row r="26" spans="1:18">
      <c r="E26" s="25">
        <f>SUM(E20:E25)</f>
        <v>35</v>
      </c>
      <c r="M26" s="22"/>
    </row>
    <row r="27" spans="1:18">
      <c r="M27" s="22"/>
    </row>
    <row r="28" spans="1:18">
      <c r="E28">
        <f>E9+E18+E26</f>
        <v>102</v>
      </c>
      <c r="I28" s="21">
        <f>SUM(I4:I25)</f>
        <v>816</v>
      </c>
      <c r="L28">
        <f>18*3</f>
        <v>54</v>
      </c>
      <c r="M28" s="22" t="s">
        <v>61</v>
      </c>
      <c r="N28" t="s">
        <v>60</v>
      </c>
    </row>
    <row r="29" spans="1:18">
      <c r="M29" s="23" t="s">
        <v>62</v>
      </c>
      <c r="N29" t="s">
        <v>58</v>
      </c>
      <c r="O29" t="s">
        <v>56</v>
      </c>
      <c r="Q29" s="21" t="s">
        <v>57</v>
      </c>
      <c r="R29" s="21"/>
    </row>
    <row r="30" spans="1:18">
      <c r="M30" s="22" t="s">
        <v>61</v>
      </c>
      <c r="N30" t="s">
        <v>59</v>
      </c>
      <c r="O30" t="s">
        <v>56</v>
      </c>
    </row>
    <row r="33" spans="5:8">
      <c r="E33" t="s">
        <v>72</v>
      </c>
      <c r="H33" t="s">
        <v>73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1CA04-79B5-43B7-BFD9-E6AC5778E929}">
  <sheetPr>
    <tabColor rgb="FFC00000"/>
  </sheetPr>
  <dimension ref="A1:W37"/>
  <sheetViews>
    <sheetView zoomScale="130" zoomScaleNormal="130" workbookViewId="0">
      <selection activeCell="Q10" sqref="Q10"/>
    </sheetView>
  </sheetViews>
  <sheetFormatPr baseColWidth="10" defaultColWidth="8.83203125" defaultRowHeight="15"/>
  <cols>
    <col min="3" max="3" width="0" hidden="1" customWidth="1"/>
    <col min="4" max="4" width="3.6640625" customWidth="1"/>
    <col min="5" max="5" width="12.83203125" customWidth="1"/>
    <col min="6" max="7" width="4" customWidth="1"/>
    <col min="8" max="9" width="8.5" customWidth="1"/>
    <col min="11" max="12" width="3.33203125" customWidth="1"/>
    <col min="13" max="13" width="7.1640625" customWidth="1"/>
    <col min="14" max="14" width="9" customWidth="1"/>
    <col min="15" max="15" width="10" bestFit="1" customWidth="1"/>
    <col min="17" max="17" width="11.33203125" customWidth="1"/>
    <col min="18" max="18" width="10.5" customWidth="1"/>
    <col min="19" max="19" width="14.33203125" customWidth="1"/>
    <col min="20" max="21" width="12.83203125" customWidth="1"/>
  </cols>
  <sheetData>
    <row r="1" spans="1:23">
      <c r="A1" t="s">
        <v>112</v>
      </c>
    </row>
    <row r="2" spans="1:23">
      <c r="A2" t="s">
        <v>54</v>
      </c>
    </row>
    <row r="3" spans="1:23">
      <c r="A3" s="16" t="s">
        <v>40</v>
      </c>
      <c r="B3" s="16"/>
      <c r="E3" s="16" t="s">
        <v>28</v>
      </c>
      <c r="I3" t="s">
        <v>127</v>
      </c>
      <c r="J3" s="16" t="s">
        <v>48</v>
      </c>
      <c r="M3" t="s">
        <v>148</v>
      </c>
      <c r="O3" s="17" t="s">
        <v>36</v>
      </c>
      <c r="Q3" s="17" t="s">
        <v>1</v>
      </c>
      <c r="R3" s="17" t="s">
        <v>35</v>
      </c>
      <c r="S3" s="24"/>
      <c r="T3" s="44" t="s">
        <v>129</v>
      </c>
      <c r="U3" s="44"/>
    </row>
    <row r="4" spans="1:23" ht="18.5" customHeight="1">
      <c r="A4" t="s">
        <v>19</v>
      </c>
      <c r="B4" t="s">
        <v>41</v>
      </c>
      <c r="C4" s="14" t="s">
        <v>23</v>
      </c>
      <c r="D4" s="14" t="s">
        <v>133</v>
      </c>
      <c r="E4">
        <v>6</v>
      </c>
      <c r="F4" t="s">
        <v>47</v>
      </c>
      <c r="I4">
        <f>E4*8</f>
        <v>48</v>
      </c>
      <c r="J4" t="s">
        <v>37</v>
      </c>
      <c r="L4">
        <v>4</v>
      </c>
      <c r="M4">
        <f>L4*11</f>
        <v>44</v>
      </c>
      <c r="N4" s="49" t="s">
        <v>38</v>
      </c>
      <c r="O4" s="49" t="s">
        <v>38</v>
      </c>
      <c r="P4">
        <f>SUM(M4:M9,M24)</f>
        <v>363</v>
      </c>
      <c r="Q4" s="15">
        <v>45870</v>
      </c>
      <c r="R4" s="15">
        <v>45930</v>
      </c>
      <c r="S4" t="s">
        <v>142</v>
      </c>
      <c r="T4">
        <v>39</v>
      </c>
    </row>
    <row r="5" spans="1:23">
      <c r="A5">
        <v>30</v>
      </c>
      <c r="B5" t="s">
        <v>42</v>
      </c>
      <c r="C5" t="s">
        <v>26</v>
      </c>
      <c r="D5" t="s">
        <v>131</v>
      </c>
      <c r="E5">
        <v>8</v>
      </c>
      <c r="F5" t="s">
        <v>47</v>
      </c>
      <c r="I5">
        <f t="shared" ref="I5:I29" si="0">E5*8</f>
        <v>64</v>
      </c>
      <c r="L5">
        <v>6</v>
      </c>
      <c r="M5">
        <f t="shared" ref="M5:M29" si="1">L5*11</f>
        <v>66</v>
      </c>
      <c r="N5" s="49" t="s">
        <v>38</v>
      </c>
      <c r="O5" s="26" t="s">
        <v>39</v>
      </c>
      <c r="P5">
        <f>SUM(M12,M13,M15,M16,M17,M18,M19,M20)</f>
        <v>363</v>
      </c>
    </row>
    <row r="6" spans="1:23" ht="18" customHeight="1">
      <c r="B6" t="s">
        <v>43</v>
      </c>
      <c r="C6" s="14" t="s">
        <v>24</v>
      </c>
      <c r="D6" s="14" t="s">
        <v>131</v>
      </c>
      <c r="E6">
        <v>5</v>
      </c>
      <c r="F6" t="s">
        <v>47</v>
      </c>
      <c r="I6">
        <f t="shared" si="0"/>
        <v>40</v>
      </c>
      <c r="L6">
        <v>4</v>
      </c>
      <c r="M6">
        <f t="shared" si="1"/>
        <v>44</v>
      </c>
      <c r="N6" s="49" t="s">
        <v>38</v>
      </c>
      <c r="O6" s="51" t="s">
        <v>125</v>
      </c>
      <c r="P6">
        <f>SUM(M14,M23,M25,M26,M27,M28,M29)</f>
        <v>363</v>
      </c>
    </row>
    <row r="7" spans="1:23">
      <c r="B7" t="s">
        <v>44</v>
      </c>
      <c r="D7" t="s">
        <v>132</v>
      </c>
      <c r="E7">
        <v>6</v>
      </c>
      <c r="F7" t="s">
        <v>47</v>
      </c>
      <c r="I7">
        <f t="shared" si="0"/>
        <v>48</v>
      </c>
      <c r="L7">
        <v>4</v>
      </c>
      <c r="M7">
        <f t="shared" si="1"/>
        <v>44</v>
      </c>
      <c r="N7" s="49" t="s">
        <v>38</v>
      </c>
    </row>
    <row r="8" spans="1:23" ht="16">
      <c r="B8" t="s">
        <v>45</v>
      </c>
      <c r="D8" s="14" t="s">
        <v>134</v>
      </c>
      <c r="E8">
        <v>7</v>
      </c>
      <c r="F8" t="s">
        <v>47</v>
      </c>
      <c r="I8">
        <f t="shared" si="0"/>
        <v>56</v>
      </c>
      <c r="L8">
        <v>5</v>
      </c>
      <c r="M8">
        <f t="shared" si="1"/>
        <v>55</v>
      </c>
      <c r="N8" s="49" t="s">
        <v>38</v>
      </c>
    </row>
    <row r="9" spans="1:23">
      <c r="B9" t="s">
        <v>143</v>
      </c>
      <c r="D9" s="14"/>
      <c r="E9">
        <v>8</v>
      </c>
      <c r="F9" t="s">
        <v>47</v>
      </c>
      <c r="I9">
        <f t="shared" si="0"/>
        <v>64</v>
      </c>
      <c r="L9">
        <v>6</v>
      </c>
      <c r="M9">
        <f t="shared" si="1"/>
        <v>66</v>
      </c>
      <c r="N9" s="49" t="s">
        <v>38</v>
      </c>
    </row>
    <row r="10" spans="1:23">
      <c r="E10" s="25">
        <f>SUM(E4:E9)</f>
        <v>40</v>
      </c>
      <c r="L10" s="51">
        <f>SUM(L4:L9)</f>
        <v>29</v>
      </c>
    </row>
    <row r="12" spans="1:23">
      <c r="A12" t="s">
        <v>20</v>
      </c>
      <c r="B12" t="s">
        <v>21</v>
      </c>
      <c r="C12" t="s">
        <v>25</v>
      </c>
      <c r="E12">
        <v>7</v>
      </c>
      <c r="F12" t="s">
        <v>47</v>
      </c>
      <c r="I12">
        <f t="shared" si="0"/>
        <v>56</v>
      </c>
      <c r="L12">
        <v>5</v>
      </c>
      <c r="M12">
        <f t="shared" si="1"/>
        <v>55</v>
      </c>
      <c r="N12" s="26" t="s">
        <v>39</v>
      </c>
      <c r="O12" s="43"/>
    </row>
    <row r="13" spans="1:23">
      <c r="A13">
        <v>40</v>
      </c>
      <c r="B13" t="s">
        <v>22</v>
      </c>
      <c r="E13">
        <v>4</v>
      </c>
      <c r="F13" t="s">
        <v>47</v>
      </c>
      <c r="I13">
        <f t="shared" si="0"/>
        <v>32</v>
      </c>
      <c r="L13">
        <v>3</v>
      </c>
      <c r="M13">
        <f t="shared" si="1"/>
        <v>33</v>
      </c>
      <c r="N13" s="26" t="s">
        <v>39</v>
      </c>
    </row>
    <row r="14" spans="1:23">
      <c r="B14" t="s">
        <v>30</v>
      </c>
      <c r="E14">
        <v>6</v>
      </c>
      <c r="F14" t="s">
        <v>47</v>
      </c>
      <c r="I14">
        <f t="shared" si="0"/>
        <v>48</v>
      </c>
      <c r="L14">
        <v>4</v>
      </c>
      <c r="M14">
        <f t="shared" si="1"/>
        <v>44</v>
      </c>
      <c r="N14" s="51" t="s">
        <v>125</v>
      </c>
      <c r="Q14" t="s">
        <v>128</v>
      </c>
      <c r="R14" s="36">
        <f>I32/T4</f>
        <v>27.692307692307693</v>
      </c>
      <c r="S14" t="s">
        <v>130</v>
      </c>
      <c r="T14" s="45">
        <f>R14/3</f>
        <v>9.2307692307692317</v>
      </c>
      <c r="U14" s="45"/>
    </row>
    <row r="15" spans="1:23">
      <c r="B15" t="s">
        <v>31</v>
      </c>
      <c r="E15">
        <v>5</v>
      </c>
      <c r="F15" t="s">
        <v>47</v>
      </c>
      <c r="I15">
        <f t="shared" si="0"/>
        <v>40</v>
      </c>
      <c r="L15">
        <v>4</v>
      </c>
      <c r="M15">
        <f t="shared" si="1"/>
        <v>44</v>
      </c>
      <c r="N15" s="26" t="s">
        <v>39</v>
      </c>
      <c r="Q15" s="42">
        <v>32</v>
      </c>
      <c r="R15" s="50">
        <v>33</v>
      </c>
      <c r="S15" s="42">
        <v>34</v>
      </c>
      <c r="T15" s="42">
        <v>36</v>
      </c>
      <c r="U15" s="42">
        <v>39</v>
      </c>
      <c r="V15" s="42">
        <v>39</v>
      </c>
      <c r="W15" s="42" t="s">
        <v>47</v>
      </c>
    </row>
    <row r="16" spans="1:23">
      <c r="B16" t="s">
        <v>32</v>
      </c>
      <c r="E16">
        <v>8</v>
      </c>
      <c r="F16" t="s">
        <v>47</v>
      </c>
      <c r="I16">
        <f t="shared" si="0"/>
        <v>64</v>
      </c>
      <c r="L16">
        <v>6</v>
      </c>
      <c r="M16">
        <f t="shared" si="1"/>
        <v>66</v>
      </c>
      <c r="N16" s="26" t="s">
        <v>39</v>
      </c>
      <c r="Q16" s="42">
        <v>3</v>
      </c>
      <c r="R16" s="50">
        <v>3</v>
      </c>
      <c r="S16" s="42">
        <v>3</v>
      </c>
      <c r="T16" s="42">
        <v>3</v>
      </c>
      <c r="U16" s="42">
        <v>3</v>
      </c>
      <c r="V16" s="42">
        <v>3</v>
      </c>
      <c r="W16" s="42" t="s">
        <v>114</v>
      </c>
    </row>
    <row r="17" spans="1:23">
      <c r="B17" t="s">
        <v>33</v>
      </c>
      <c r="E17">
        <v>3</v>
      </c>
      <c r="F17" t="s">
        <v>47</v>
      </c>
      <c r="I17">
        <f t="shared" si="0"/>
        <v>24</v>
      </c>
      <c r="L17">
        <v>2</v>
      </c>
      <c r="M17">
        <f t="shared" si="1"/>
        <v>22</v>
      </c>
      <c r="N17" s="26" t="s">
        <v>39</v>
      </c>
      <c r="Q17" s="42">
        <v>11.5</v>
      </c>
      <c r="R17" s="50">
        <v>11</v>
      </c>
      <c r="S17" s="42">
        <v>11</v>
      </c>
      <c r="T17" s="42">
        <v>10</v>
      </c>
      <c r="U17" s="42">
        <v>9</v>
      </c>
      <c r="V17" s="42">
        <v>8</v>
      </c>
      <c r="W17" s="42" t="s">
        <v>115</v>
      </c>
    </row>
    <row r="18" spans="1:23">
      <c r="B18" t="s">
        <v>34</v>
      </c>
      <c r="E18">
        <v>5</v>
      </c>
      <c r="F18" t="s">
        <v>47</v>
      </c>
      <c r="I18">
        <f t="shared" si="0"/>
        <v>40</v>
      </c>
      <c r="L18">
        <v>4</v>
      </c>
      <c r="M18">
        <f t="shared" si="1"/>
        <v>44</v>
      </c>
      <c r="N18" s="26" t="s">
        <v>39</v>
      </c>
      <c r="Q18" s="42">
        <f t="shared" ref="Q18:V18" si="2">Q15*Q16*Q17</f>
        <v>1104</v>
      </c>
      <c r="R18" s="50">
        <f t="shared" si="2"/>
        <v>1089</v>
      </c>
      <c r="S18" s="42">
        <f t="shared" si="2"/>
        <v>1122</v>
      </c>
      <c r="T18" s="42">
        <f t="shared" si="2"/>
        <v>1080</v>
      </c>
      <c r="U18" s="42">
        <f t="shared" si="2"/>
        <v>1053</v>
      </c>
      <c r="V18" s="42">
        <f t="shared" si="2"/>
        <v>936</v>
      </c>
      <c r="W18" s="42"/>
    </row>
    <row r="19" spans="1:23">
      <c r="B19" t="s">
        <v>144</v>
      </c>
      <c r="E19">
        <v>7</v>
      </c>
      <c r="F19" t="s">
        <v>47</v>
      </c>
      <c r="I19">
        <f t="shared" si="0"/>
        <v>56</v>
      </c>
      <c r="L19">
        <v>5</v>
      </c>
      <c r="M19">
        <f t="shared" si="1"/>
        <v>55</v>
      </c>
      <c r="N19" s="26" t="s">
        <v>39</v>
      </c>
      <c r="Q19" s="21"/>
      <c r="S19" s="21"/>
    </row>
    <row r="20" spans="1:23">
      <c r="B20" t="s">
        <v>146</v>
      </c>
      <c r="E20">
        <v>6</v>
      </c>
      <c r="F20" t="s">
        <v>47</v>
      </c>
      <c r="I20">
        <f t="shared" ref="I20" si="3">E20*8</f>
        <v>48</v>
      </c>
      <c r="L20">
        <v>4</v>
      </c>
      <c r="M20">
        <f t="shared" si="1"/>
        <v>44</v>
      </c>
      <c r="N20" s="26" t="s">
        <v>39</v>
      </c>
      <c r="Q20" s="21"/>
      <c r="S20" s="21"/>
    </row>
    <row r="21" spans="1:23">
      <c r="E21" s="25">
        <f>SUM(E12:E19)</f>
        <v>45</v>
      </c>
      <c r="L21" s="51">
        <f>SUM(L12:L20)</f>
        <v>37</v>
      </c>
    </row>
    <row r="22" spans="1:23">
      <c r="P22" s="22"/>
    </row>
    <row r="23" spans="1:23">
      <c r="A23" t="s">
        <v>65</v>
      </c>
      <c r="B23" t="s">
        <v>66</v>
      </c>
      <c r="E23">
        <v>3</v>
      </c>
      <c r="F23" t="s">
        <v>47</v>
      </c>
      <c r="I23">
        <f t="shared" si="0"/>
        <v>24</v>
      </c>
      <c r="L23">
        <v>2</v>
      </c>
      <c r="M23">
        <f t="shared" si="1"/>
        <v>22</v>
      </c>
      <c r="N23" s="51" t="s">
        <v>125</v>
      </c>
      <c r="P23" s="22"/>
    </row>
    <row r="24" spans="1:23">
      <c r="A24">
        <v>40</v>
      </c>
      <c r="B24" t="s">
        <v>67</v>
      </c>
      <c r="E24">
        <v>6</v>
      </c>
      <c r="F24" t="s">
        <v>47</v>
      </c>
      <c r="I24">
        <f t="shared" si="0"/>
        <v>48</v>
      </c>
      <c r="L24">
        <v>4</v>
      </c>
      <c r="M24">
        <f t="shared" si="1"/>
        <v>44</v>
      </c>
      <c r="N24" s="49" t="s">
        <v>38</v>
      </c>
      <c r="P24" s="22"/>
    </row>
    <row r="25" spans="1:23">
      <c r="B25" t="s">
        <v>68</v>
      </c>
      <c r="E25">
        <v>9</v>
      </c>
      <c r="F25" t="s">
        <v>47</v>
      </c>
      <c r="I25">
        <f t="shared" si="0"/>
        <v>72</v>
      </c>
      <c r="L25">
        <v>7</v>
      </c>
      <c r="M25">
        <f t="shared" si="1"/>
        <v>77</v>
      </c>
      <c r="N25" s="51" t="s">
        <v>125</v>
      </c>
      <c r="P25" s="22"/>
    </row>
    <row r="26" spans="1:23">
      <c r="B26" t="s">
        <v>69</v>
      </c>
      <c r="E26">
        <v>8</v>
      </c>
      <c r="F26" t="s">
        <v>47</v>
      </c>
      <c r="I26">
        <f t="shared" si="0"/>
        <v>64</v>
      </c>
      <c r="L26">
        <v>6</v>
      </c>
      <c r="M26">
        <f t="shared" si="1"/>
        <v>66</v>
      </c>
      <c r="N26" s="51" t="s">
        <v>125</v>
      </c>
      <c r="P26" s="22"/>
    </row>
    <row r="27" spans="1:23">
      <c r="B27" t="s">
        <v>70</v>
      </c>
      <c r="E27">
        <v>5</v>
      </c>
      <c r="F27" t="s">
        <v>47</v>
      </c>
      <c r="I27">
        <f t="shared" si="0"/>
        <v>40</v>
      </c>
      <c r="L27">
        <v>4</v>
      </c>
      <c r="M27">
        <f t="shared" si="1"/>
        <v>44</v>
      </c>
      <c r="N27" s="51" t="s">
        <v>125</v>
      </c>
      <c r="P27" s="22"/>
    </row>
    <row r="28" spans="1:23">
      <c r="B28" t="s">
        <v>126</v>
      </c>
      <c r="E28">
        <v>7</v>
      </c>
      <c r="F28" t="s">
        <v>47</v>
      </c>
      <c r="I28">
        <f t="shared" si="0"/>
        <v>56</v>
      </c>
      <c r="L28">
        <v>5</v>
      </c>
      <c r="M28">
        <f t="shared" si="1"/>
        <v>55</v>
      </c>
      <c r="N28" s="51" t="s">
        <v>125</v>
      </c>
      <c r="P28" s="22"/>
    </row>
    <row r="29" spans="1:23">
      <c r="B29" t="s">
        <v>145</v>
      </c>
      <c r="E29">
        <v>6</v>
      </c>
      <c r="F29" t="s">
        <v>47</v>
      </c>
      <c r="I29">
        <f t="shared" si="0"/>
        <v>48</v>
      </c>
      <c r="L29">
        <v>5</v>
      </c>
      <c r="M29">
        <f t="shared" si="1"/>
        <v>55</v>
      </c>
      <c r="N29" s="51" t="s">
        <v>125</v>
      </c>
      <c r="P29" s="22"/>
    </row>
    <row r="30" spans="1:23">
      <c r="E30" s="25">
        <f>SUM(E23:E29)</f>
        <v>44</v>
      </c>
      <c r="L30" s="51">
        <f>SUM(L23:L29)</f>
        <v>33</v>
      </c>
      <c r="P30" s="22"/>
    </row>
    <row r="31" spans="1:23">
      <c r="P31" s="22"/>
    </row>
    <row r="32" spans="1:23">
      <c r="E32">
        <f>E10+E21+E30</f>
        <v>129</v>
      </c>
      <c r="I32" s="21">
        <f>SUM(I4:I29)</f>
        <v>1080</v>
      </c>
      <c r="M32">
        <f>SUM(M4:M29)</f>
        <v>1089</v>
      </c>
      <c r="P32" s="22" t="s">
        <v>61</v>
      </c>
      <c r="Q32" t="s">
        <v>60</v>
      </c>
    </row>
    <row r="33" spans="5:21">
      <c r="P33" s="23" t="s">
        <v>62</v>
      </c>
      <c r="Q33" t="s">
        <v>58</v>
      </c>
      <c r="R33" t="s">
        <v>56</v>
      </c>
      <c r="T33" s="21" t="s">
        <v>57</v>
      </c>
      <c r="U33" s="21"/>
    </row>
    <row r="34" spans="5:21">
      <c r="P34" s="22" t="s">
        <v>61</v>
      </c>
      <c r="Q34" t="s">
        <v>59</v>
      </c>
      <c r="R34" t="s">
        <v>56</v>
      </c>
    </row>
    <row r="37" spans="5:21">
      <c r="E37" t="s">
        <v>72</v>
      </c>
      <c r="H37" t="s">
        <v>73</v>
      </c>
    </row>
  </sheetData>
  <phoneticPr fontId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23E7D-87D7-4A0B-A845-E309DF3341BC}">
  <sheetPr>
    <tabColor rgb="FFC00000"/>
  </sheetPr>
  <dimension ref="A1:DD66"/>
  <sheetViews>
    <sheetView showGridLines="0" zoomScale="90" zoomScaleNormal="90" zoomScaleSheetLayoutView="100" workbookViewId="0">
      <selection activeCell="J12" sqref="J12"/>
    </sheetView>
  </sheetViews>
  <sheetFormatPr baseColWidth="10" defaultColWidth="3.33203125" defaultRowHeight="15" customHeight="1"/>
  <cols>
    <col min="1" max="18" width="3.33203125" style="1"/>
    <col min="19" max="30" width="3.83203125" style="1" customWidth="1"/>
    <col min="31" max="34" width="3.33203125" style="1"/>
    <col min="35" max="35" width="3" style="1" customWidth="1"/>
    <col min="36" max="36" width="3.33203125" style="1"/>
    <col min="37" max="37" width="3" style="1" customWidth="1"/>
    <col min="38" max="38" width="3.33203125" style="1"/>
    <col min="39" max="42" width="2.6640625" style="1" customWidth="1"/>
    <col min="43" max="44" width="3.33203125" style="1" customWidth="1"/>
    <col min="45" max="47" width="3.33203125" style="1"/>
    <col min="48" max="48" width="3.33203125" style="1" customWidth="1"/>
    <col min="49" max="107" width="3.33203125" style="1"/>
    <col min="108" max="108" width="11.5" style="1" bestFit="1" customWidth="1"/>
    <col min="109" max="16384" width="3.33203125" style="1"/>
  </cols>
  <sheetData>
    <row r="1" spans="1:108" ht="19.5" customHeight="1">
      <c r="A1" s="85" t="s">
        <v>0</v>
      </c>
      <c r="B1" s="95"/>
      <c r="C1" s="95"/>
      <c r="D1" s="95"/>
      <c r="E1" s="95"/>
      <c r="F1" s="95"/>
      <c r="G1" s="95"/>
      <c r="H1" s="112" t="s">
        <v>111</v>
      </c>
      <c r="I1" s="113"/>
      <c r="J1" s="113"/>
      <c r="K1" s="113"/>
      <c r="L1" s="113"/>
      <c r="M1" s="113"/>
      <c r="N1" s="113"/>
      <c r="O1" s="113"/>
      <c r="P1" s="113"/>
      <c r="Q1" s="113"/>
      <c r="R1" s="114"/>
      <c r="S1" s="106" t="s">
        <v>12</v>
      </c>
      <c r="T1" s="107"/>
      <c r="U1" s="107"/>
      <c r="V1" s="108"/>
      <c r="W1" s="109">
        <v>45868</v>
      </c>
      <c r="X1" s="110"/>
      <c r="Y1" s="110"/>
      <c r="Z1" s="110"/>
      <c r="AA1" s="110"/>
      <c r="AB1" s="110"/>
      <c r="AC1" s="111"/>
      <c r="AD1" s="106" t="s">
        <v>10</v>
      </c>
      <c r="AE1" s="107"/>
      <c r="AF1" s="107"/>
      <c r="AG1" s="108"/>
      <c r="AH1" s="103" t="s">
        <v>50</v>
      </c>
      <c r="AI1" s="104"/>
      <c r="AJ1" s="104"/>
      <c r="AK1" s="104"/>
      <c r="AL1" s="104"/>
      <c r="AM1" s="104"/>
      <c r="AN1" s="104"/>
      <c r="AO1" s="104"/>
      <c r="AP1" s="105"/>
      <c r="AQ1" s="100" t="s">
        <v>14</v>
      </c>
      <c r="AR1" s="101"/>
      <c r="AS1" s="101"/>
      <c r="AT1" s="102"/>
      <c r="AU1" s="103">
        <v>45870</v>
      </c>
      <c r="AV1" s="104"/>
      <c r="AW1" s="104"/>
      <c r="AX1" s="104"/>
      <c r="AY1" s="104"/>
      <c r="AZ1" s="104"/>
      <c r="BA1" s="105"/>
    </row>
    <row r="2" spans="1:108" ht="19.5" customHeight="1">
      <c r="A2" s="83"/>
      <c r="B2" s="99"/>
      <c r="C2" s="99"/>
      <c r="D2" s="99"/>
      <c r="E2" s="99"/>
      <c r="F2" s="99"/>
      <c r="G2" s="99"/>
      <c r="H2" s="115"/>
      <c r="I2" s="116"/>
      <c r="J2" s="116"/>
      <c r="K2" s="116"/>
      <c r="L2" s="116"/>
      <c r="M2" s="116"/>
      <c r="N2" s="116"/>
      <c r="O2" s="116"/>
      <c r="P2" s="116"/>
      <c r="Q2" s="116"/>
      <c r="R2" s="117"/>
      <c r="S2" s="106" t="s">
        <v>13</v>
      </c>
      <c r="T2" s="107"/>
      <c r="U2" s="107"/>
      <c r="V2" s="108"/>
      <c r="W2" s="109"/>
      <c r="X2" s="110"/>
      <c r="Y2" s="110"/>
      <c r="Z2" s="110"/>
      <c r="AA2" s="110"/>
      <c r="AB2" s="110"/>
      <c r="AC2" s="111"/>
      <c r="AD2" s="106" t="s">
        <v>11</v>
      </c>
      <c r="AE2" s="107"/>
      <c r="AF2" s="107"/>
      <c r="AG2" s="108"/>
      <c r="AH2" s="103"/>
      <c r="AI2" s="104"/>
      <c r="AJ2" s="104"/>
      <c r="AK2" s="104"/>
      <c r="AL2" s="104"/>
      <c r="AM2" s="104"/>
      <c r="AN2" s="104"/>
      <c r="AO2" s="104"/>
      <c r="AP2" s="105"/>
      <c r="AQ2" s="100" t="s">
        <v>15</v>
      </c>
      <c r="AR2" s="101"/>
      <c r="AS2" s="101"/>
      <c r="AT2" s="102"/>
      <c r="AU2" s="103">
        <v>45930</v>
      </c>
      <c r="AV2" s="104"/>
      <c r="AW2" s="104"/>
      <c r="AX2" s="104"/>
      <c r="AY2" s="104"/>
      <c r="AZ2" s="104"/>
      <c r="BA2" s="105"/>
    </row>
    <row r="3" spans="1:108" ht="15" customHeight="1">
      <c r="AQ3" s="1">
        <v>1</v>
      </c>
      <c r="AT3" s="1">
        <v>1</v>
      </c>
      <c r="AU3" s="1">
        <v>1</v>
      </c>
      <c r="AV3" s="1">
        <v>1</v>
      </c>
      <c r="AW3" s="1">
        <v>1</v>
      </c>
      <c r="AX3" s="1">
        <v>1</v>
      </c>
      <c r="BB3" s="1">
        <v>1</v>
      </c>
      <c r="BC3" s="1">
        <v>1</v>
      </c>
      <c r="BD3" s="1">
        <v>1</v>
      </c>
      <c r="BE3" s="1">
        <v>1</v>
      </c>
      <c r="BH3" s="1">
        <v>1</v>
      </c>
      <c r="BI3" s="1">
        <v>1</v>
      </c>
      <c r="BJ3" s="1">
        <v>1</v>
      </c>
      <c r="BK3" s="1">
        <v>1</v>
      </c>
      <c r="BL3" s="1">
        <v>1</v>
      </c>
      <c r="BP3" s="1">
        <v>1</v>
      </c>
      <c r="BQ3" s="1">
        <v>1</v>
      </c>
      <c r="BR3" s="1">
        <v>1</v>
      </c>
      <c r="BS3" s="1">
        <v>1</v>
      </c>
      <c r="BV3" s="1">
        <v>1</v>
      </c>
      <c r="BW3" s="1">
        <v>1</v>
      </c>
      <c r="BX3" s="1">
        <v>1</v>
      </c>
      <c r="BY3" s="1">
        <v>1</v>
      </c>
      <c r="BZ3" s="1">
        <v>1</v>
      </c>
      <c r="CC3" s="1">
        <v>1</v>
      </c>
      <c r="CD3" s="1">
        <v>1</v>
      </c>
      <c r="CE3" s="1">
        <v>1</v>
      </c>
      <c r="CF3" s="1">
        <v>1</v>
      </c>
      <c r="CG3" s="1">
        <v>1</v>
      </c>
      <c r="CK3" s="1">
        <v>1</v>
      </c>
      <c r="CL3" s="1">
        <v>1</v>
      </c>
      <c r="CM3" s="1">
        <v>1</v>
      </c>
      <c r="CN3" s="1">
        <v>1</v>
      </c>
      <c r="CQ3" s="1">
        <v>1</v>
      </c>
      <c r="CS3" s="1">
        <v>1</v>
      </c>
      <c r="CT3" s="1">
        <v>1</v>
      </c>
      <c r="CU3" s="1">
        <v>1</v>
      </c>
      <c r="CX3" s="1">
        <v>1</v>
      </c>
      <c r="CY3" s="1">
        <v>1</v>
      </c>
    </row>
    <row r="4" spans="1:108" ht="19.5" customHeight="1">
      <c r="A4" s="80" t="s">
        <v>3</v>
      </c>
      <c r="B4" s="80"/>
      <c r="C4" s="86" t="s">
        <v>8</v>
      </c>
      <c r="D4" s="87"/>
      <c r="E4" s="87"/>
      <c r="F4" s="87"/>
      <c r="G4" s="88"/>
      <c r="H4" s="85" t="s">
        <v>5</v>
      </c>
      <c r="I4" s="95"/>
      <c r="J4" s="95"/>
      <c r="K4" s="95"/>
      <c r="L4" s="95"/>
      <c r="M4" s="95"/>
      <c r="N4" s="95"/>
      <c r="O4" s="82"/>
      <c r="P4" s="80" t="s">
        <v>4</v>
      </c>
      <c r="Q4" s="80"/>
      <c r="R4" s="80"/>
      <c r="S4" s="79" t="s">
        <v>6</v>
      </c>
      <c r="T4" s="79"/>
      <c r="U4" s="79"/>
      <c r="V4" s="79"/>
      <c r="W4" s="79"/>
      <c r="X4" s="79"/>
      <c r="Y4" s="80" t="s">
        <v>7</v>
      </c>
      <c r="Z4" s="80"/>
      <c r="AA4" s="80"/>
      <c r="AB4" s="80"/>
      <c r="AC4" s="80"/>
      <c r="AD4" s="80"/>
      <c r="AE4" s="100" t="s">
        <v>18</v>
      </c>
      <c r="AF4" s="101"/>
      <c r="AG4" s="101"/>
      <c r="AH4" s="102"/>
      <c r="AI4" s="118" t="s">
        <v>16</v>
      </c>
      <c r="AJ4" s="119"/>
      <c r="AK4" s="124" t="s">
        <v>17</v>
      </c>
      <c r="AL4" s="125"/>
      <c r="AM4" s="124" t="s">
        <v>29</v>
      </c>
      <c r="AN4" s="130"/>
      <c r="AO4" s="130"/>
      <c r="AP4" s="125"/>
      <c r="AQ4" s="7">
        <f>AU1</f>
        <v>45870</v>
      </c>
      <c r="AR4" s="8" t="str">
        <f>IF(DAY(AR5)=1,AR5,"")</f>
        <v/>
      </c>
      <c r="AS4" s="8" t="str">
        <f t="shared" ref="AS4:DB4" si="0">IF(DAY(AS5)=1,AS5,"")</f>
        <v/>
      </c>
      <c r="AT4" s="8" t="str">
        <f t="shared" si="0"/>
        <v/>
      </c>
      <c r="AU4" s="8"/>
      <c r="AV4" s="8" t="str">
        <f t="shared" si="0"/>
        <v/>
      </c>
      <c r="AW4" s="8" t="str">
        <f t="shared" si="0"/>
        <v/>
      </c>
      <c r="AX4" s="8" t="str">
        <f t="shared" si="0"/>
        <v/>
      </c>
      <c r="AY4" s="8" t="str">
        <f t="shared" si="0"/>
        <v/>
      </c>
      <c r="AZ4" s="8" t="str">
        <f t="shared" si="0"/>
        <v/>
      </c>
      <c r="BA4" s="8" t="str">
        <f t="shared" si="0"/>
        <v/>
      </c>
      <c r="BB4" s="8" t="str">
        <f t="shared" si="0"/>
        <v/>
      </c>
      <c r="BC4" s="8" t="str">
        <f t="shared" si="0"/>
        <v/>
      </c>
      <c r="BD4" s="8" t="str">
        <f t="shared" si="0"/>
        <v/>
      </c>
      <c r="BE4" s="8" t="str">
        <f t="shared" si="0"/>
        <v/>
      </c>
      <c r="BF4" s="8" t="str">
        <f t="shared" si="0"/>
        <v/>
      </c>
      <c r="BG4" s="8" t="str">
        <f t="shared" si="0"/>
        <v/>
      </c>
      <c r="BH4" s="8" t="str">
        <f t="shared" si="0"/>
        <v/>
      </c>
      <c r="BI4" s="8" t="str">
        <f t="shared" si="0"/>
        <v/>
      </c>
      <c r="BJ4" s="8" t="str">
        <f t="shared" si="0"/>
        <v/>
      </c>
      <c r="BK4" s="8" t="str">
        <f t="shared" si="0"/>
        <v/>
      </c>
      <c r="BL4" s="8" t="str">
        <f t="shared" si="0"/>
        <v/>
      </c>
      <c r="BM4" s="8" t="str">
        <f t="shared" si="0"/>
        <v/>
      </c>
      <c r="BN4" s="8" t="str">
        <f t="shared" si="0"/>
        <v/>
      </c>
      <c r="BO4" s="8" t="str">
        <f t="shared" si="0"/>
        <v/>
      </c>
      <c r="BP4" s="8" t="str">
        <f t="shared" si="0"/>
        <v/>
      </c>
      <c r="BQ4" s="8" t="str">
        <f t="shared" si="0"/>
        <v/>
      </c>
      <c r="BR4" s="8" t="str">
        <f t="shared" si="0"/>
        <v/>
      </c>
      <c r="BS4" s="8" t="str">
        <f t="shared" si="0"/>
        <v/>
      </c>
      <c r="BT4" s="8" t="str">
        <f t="shared" si="0"/>
        <v/>
      </c>
      <c r="BU4" s="8" t="str">
        <f t="shared" si="0"/>
        <v/>
      </c>
      <c r="BV4" s="8">
        <f t="shared" si="0"/>
        <v>45901</v>
      </c>
      <c r="BW4" s="8" t="str">
        <f t="shared" si="0"/>
        <v/>
      </c>
      <c r="BX4" s="8" t="str">
        <f t="shared" si="0"/>
        <v/>
      </c>
      <c r="BY4" s="8" t="str">
        <f t="shared" si="0"/>
        <v/>
      </c>
      <c r="BZ4" s="8" t="str">
        <f t="shared" si="0"/>
        <v/>
      </c>
      <c r="CA4" s="8" t="str">
        <f t="shared" si="0"/>
        <v/>
      </c>
      <c r="CB4" s="8" t="str">
        <f t="shared" si="0"/>
        <v/>
      </c>
      <c r="CC4" s="8" t="str">
        <f t="shared" si="0"/>
        <v/>
      </c>
      <c r="CD4" s="8" t="str">
        <f t="shared" si="0"/>
        <v/>
      </c>
      <c r="CE4" s="8" t="str">
        <f t="shared" si="0"/>
        <v/>
      </c>
      <c r="CF4" s="8" t="str">
        <f t="shared" si="0"/>
        <v/>
      </c>
      <c r="CG4" s="8" t="str">
        <f t="shared" si="0"/>
        <v/>
      </c>
      <c r="CH4" s="8" t="str">
        <f t="shared" si="0"/>
        <v/>
      </c>
      <c r="CI4" s="8" t="str">
        <f t="shared" si="0"/>
        <v/>
      </c>
      <c r="CJ4" s="8" t="str">
        <f t="shared" si="0"/>
        <v/>
      </c>
      <c r="CK4" s="8" t="str">
        <f t="shared" si="0"/>
        <v/>
      </c>
      <c r="CL4" s="8" t="str">
        <f t="shared" si="0"/>
        <v/>
      </c>
      <c r="CM4" s="8" t="str">
        <f t="shared" si="0"/>
        <v/>
      </c>
      <c r="CN4" s="8" t="str">
        <f t="shared" si="0"/>
        <v/>
      </c>
      <c r="CO4" s="8" t="str">
        <f t="shared" si="0"/>
        <v/>
      </c>
      <c r="CP4" s="8" t="str">
        <f t="shared" si="0"/>
        <v/>
      </c>
      <c r="CQ4" s="8" t="str">
        <f t="shared" si="0"/>
        <v/>
      </c>
      <c r="CR4" s="8" t="str">
        <f t="shared" si="0"/>
        <v/>
      </c>
      <c r="CS4" s="8" t="str">
        <f t="shared" si="0"/>
        <v/>
      </c>
      <c r="CT4" s="8" t="str">
        <f t="shared" si="0"/>
        <v/>
      </c>
      <c r="CU4" s="8" t="str">
        <f t="shared" si="0"/>
        <v/>
      </c>
      <c r="CV4" s="8" t="str">
        <f t="shared" si="0"/>
        <v/>
      </c>
      <c r="CW4" s="8" t="str">
        <f t="shared" si="0"/>
        <v/>
      </c>
      <c r="CX4" s="8" t="str">
        <f t="shared" si="0"/>
        <v/>
      </c>
      <c r="CY4" s="8" t="str">
        <f t="shared" si="0"/>
        <v/>
      </c>
      <c r="CZ4" s="8">
        <f t="shared" si="0"/>
        <v>45931</v>
      </c>
      <c r="DA4" s="8" t="str">
        <f t="shared" si="0"/>
        <v/>
      </c>
      <c r="DB4" s="9" t="str">
        <f t="shared" si="0"/>
        <v/>
      </c>
      <c r="DC4" s="3"/>
    </row>
    <row r="5" spans="1:108" s="2" customFormat="1" ht="19.5" customHeight="1">
      <c r="A5" s="80"/>
      <c r="B5" s="80"/>
      <c r="C5" s="89"/>
      <c r="D5" s="90"/>
      <c r="E5" s="90"/>
      <c r="F5" s="90"/>
      <c r="G5" s="91"/>
      <c r="H5" s="96"/>
      <c r="I5" s="97"/>
      <c r="J5" s="97"/>
      <c r="K5" s="97"/>
      <c r="L5" s="97"/>
      <c r="M5" s="97"/>
      <c r="N5" s="97"/>
      <c r="O5" s="98"/>
      <c r="P5" s="80"/>
      <c r="Q5" s="80"/>
      <c r="R5" s="80"/>
      <c r="S5" s="79" t="s">
        <v>1</v>
      </c>
      <c r="T5" s="79"/>
      <c r="U5" s="79"/>
      <c r="V5" s="79" t="s">
        <v>2</v>
      </c>
      <c r="W5" s="79"/>
      <c r="X5" s="79"/>
      <c r="Y5" s="80" t="s">
        <v>1</v>
      </c>
      <c r="Z5" s="80"/>
      <c r="AA5" s="80"/>
      <c r="AB5" s="80" t="s">
        <v>2</v>
      </c>
      <c r="AC5" s="80"/>
      <c r="AD5" s="80"/>
      <c r="AE5" s="81" t="s">
        <v>6</v>
      </c>
      <c r="AF5" s="82"/>
      <c r="AG5" s="85" t="s">
        <v>7</v>
      </c>
      <c r="AH5" s="82"/>
      <c r="AI5" s="120"/>
      <c r="AJ5" s="121"/>
      <c r="AK5" s="126"/>
      <c r="AL5" s="127"/>
      <c r="AM5" s="126"/>
      <c r="AN5" s="131"/>
      <c r="AO5" s="131"/>
      <c r="AP5" s="127"/>
      <c r="AQ5" s="5">
        <f>AU1</f>
        <v>45870</v>
      </c>
      <c r="AR5" s="5">
        <f t="shared" ref="AR5:DB5" si="1">AQ5+1</f>
        <v>45871</v>
      </c>
      <c r="AS5" s="5">
        <f t="shared" si="1"/>
        <v>45872</v>
      </c>
      <c r="AT5" s="5">
        <f t="shared" si="1"/>
        <v>45873</v>
      </c>
      <c r="AU5" s="5">
        <f t="shared" si="1"/>
        <v>45874</v>
      </c>
      <c r="AV5" s="5">
        <f t="shared" si="1"/>
        <v>45875</v>
      </c>
      <c r="AW5" s="5">
        <f t="shared" si="1"/>
        <v>45876</v>
      </c>
      <c r="AX5" s="5">
        <f t="shared" si="1"/>
        <v>45877</v>
      </c>
      <c r="AY5" s="5">
        <f t="shared" si="1"/>
        <v>45878</v>
      </c>
      <c r="AZ5" s="5">
        <f t="shared" si="1"/>
        <v>45879</v>
      </c>
      <c r="BA5" s="18">
        <f t="shared" si="1"/>
        <v>45880</v>
      </c>
      <c r="BB5" s="5">
        <f t="shared" si="1"/>
        <v>45881</v>
      </c>
      <c r="BC5" s="5">
        <f t="shared" si="1"/>
        <v>45882</v>
      </c>
      <c r="BD5" s="30">
        <f t="shared" si="1"/>
        <v>45883</v>
      </c>
      <c r="BE5" s="30">
        <f t="shared" si="1"/>
        <v>45884</v>
      </c>
      <c r="BF5" s="5">
        <f t="shared" si="1"/>
        <v>45885</v>
      </c>
      <c r="BG5" s="5">
        <f t="shared" si="1"/>
        <v>45886</v>
      </c>
      <c r="BH5" s="5">
        <f t="shared" si="1"/>
        <v>45887</v>
      </c>
      <c r="BI5" s="5">
        <f t="shared" si="1"/>
        <v>45888</v>
      </c>
      <c r="BJ5" s="5">
        <f t="shared" si="1"/>
        <v>45889</v>
      </c>
      <c r="BK5" s="5">
        <f t="shared" si="1"/>
        <v>45890</v>
      </c>
      <c r="BL5" s="5">
        <f t="shared" si="1"/>
        <v>45891</v>
      </c>
      <c r="BM5" s="5">
        <f t="shared" si="1"/>
        <v>45892</v>
      </c>
      <c r="BN5" s="5">
        <f t="shared" si="1"/>
        <v>45893</v>
      </c>
      <c r="BO5" s="18">
        <f t="shared" si="1"/>
        <v>45894</v>
      </c>
      <c r="BP5" s="5">
        <f t="shared" si="1"/>
        <v>45895</v>
      </c>
      <c r="BQ5" s="5">
        <f t="shared" si="1"/>
        <v>45896</v>
      </c>
      <c r="BR5" s="5">
        <f t="shared" si="1"/>
        <v>45897</v>
      </c>
      <c r="BS5" s="5">
        <f t="shared" si="1"/>
        <v>45898</v>
      </c>
      <c r="BT5" s="5">
        <f t="shared" si="1"/>
        <v>45899</v>
      </c>
      <c r="BU5" s="5">
        <f t="shared" si="1"/>
        <v>45900</v>
      </c>
      <c r="BV5" s="5">
        <f t="shared" si="1"/>
        <v>45901</v>
      </c>
      <c r="BW5" s="5">
        <f t="shared" si="1"/>
        <v>45902</v>
      </c>
      <c r="BX5" s="5">
        <f t="shared" si="1"/>
        <v>45903</v>
      </c>
      <c r="BY5" s="5">
        <f t="shared" si="1"/>
        <v>45904</v>
      </c>
      <c r="BZ5" s="5">
        <f t="shared" si="1"/>
        <v>45905</v>
      </c>
      <c r="CA5" s="5">
        <f t="shared" si="1"/>
        <v>45906</v>
      </c>
      <c r="CB5" s="5">
        <f t="shared" si="1"/>
        <v>45907</v>
      </c>
      <c r="CC5" s="5">
        <f t="shared" si="1"/>
        <v>45908</v>
      </c>
      <c r="CD5" s="5">
        <f t="shared" si="1"/>
        <v>45909</v>
      </c>
      <c r="CE5" s="5">
        <f t="shared" si="1"/>
        <v>45910</v>
      </c>
      <c r="CF5" s="5">
        <f t="shared" si="1"/>
        <v>45911</v>
      </c>
      <c r="CG5" s="5">
        <f t="shared" si="1"/>
        <v>45912</v>
      </c>
      <c r="CH5" s="5">
        <f t="shared" si="1"/>
        <v>45913</v>
      </c>
      <c r="CI5" s="5">
        <f t="shared" si="1"/>
        <v>45914</v>
      </c>
      <c r="CJ5" s="18">
        <f t="shared" si="1"/>
        <v>45915</v>
      </c>
      <c r="CK5" s="5">
        <f t="shared" si="1"/>
        <v>45916</v>
      </c>
      <c r="CL5" s="5">
        <f t="shared" si="1"/>
        <v>45917</v>
      </c>
      <c r="CM5" s="5">
        <f t="shared" si="1"/>
        <v>45918</v>
      </c>
      <c r="CN5" s="5">
        <f t="shared" si="1"/>
        <v>45919</v>
      </c>
      <c r="CO5" s="5">
        <f t="shared" si="1"/>
        <v>45920</v>
      </c>
      <c r="CP5" s="5">
        <f t="shared" si="1"/>
        <v>45921</v>
      </c>
      <c r="CQ5" s="5">
        <f t="shared" si="1"/>
        <v>45922</v>
      </c>
      <c r="CR5" s="18">
        <f t="shared" si="1"/>
        <v>45923</v>
      </c>
      <c r="CS5" s="5">
        <f t="shared" si="1"/>
        <v>45924</v>
      </c>
      <c r="CT5" s="5">
        <f t="shared" si="1"/>
        <v>45925</v>
      </c>
      <c r="CU5" s="5">
        <f t="shared" si="1"/>
        <v>45926</v>
      </c>
      <c r="CV5" s="5">
        <f t="shared" si="1"/>
        <v>45927</v>
      </c>
      <c r="CW5" s="5">
        <f t="shared" si="1"/>
        <v>45928</v>
      </c>
      <c r="CX5" s="5">
        <f t="shared" si="1"/>
        <v>45929</v>
      </c>
      <c r="CY5" s="5">
        <f t="shared" si="1"/>
        <v>45930</v>
      </c>
      <c r="CZ5" s="5">
        <f t="shared" si="1"/>
        <v>45931</v>
      </c>
      <c r="DA5" s="5">
        <f t="shared" si="1"/>
        <v>45932</v>
      </c>
      <c r="DB5" s="5">
        <f t="shared" si="1"/>
        <v>45933</v>
      </c>
      <c r="DD5" s="3"/>
    </row>
    <row r="6" spans="1:108" ht="19.5" customHeight="1">
      <c r="A6" s="80"/>
      <c r="B6" s="80"/>
      <c r="C6" s="92"/>
      <c r="D6" s="93"/>
      <c r="E6" s="93"/>
      <c r="F6" s="93"/>
      <c r="G6" s="94"/>
      <c r="H6" s="83"/>
      <c r="I6" s="99"/>
      <c r="J6" s="99"/>
      <c r="K6" s="99"/>
      <c r="L6" s="99"/>
      <c r="M6" s="99"/>
      <c r="N6" s="99"/>
      <c r="O6" s="84"/>
      <c r="P6" s="80"/>
      <c r="Q6" s="80"/>
      <c r="R6" s="80"/>
      <c r="S6" s="79"/>
      <c r="T6" s="79"/>
      <c r="U6" s="79"/>
      <c r="V6" s="79"/>
      <c r="W6" s="79"/>
      <c r="X6" s="79"/>
      <c r="Y6" s="80"/>
      <c r="Z6" s="80"/>
      <c r="AA6" s="80"/>
      <c r="AB6" s="80"/>
      <c r="AC6" s="80"/>
      <c r="AD6" s="80"/>
      <c r="AE6" s="83"/>
      <c r="AF6" s="84"/>
      <c r="AG6" s="83"/>
      <c r="AH6" s="84"/>
      <c r="AI6" s="122"/>
      <c r="AJ6" s="123"/>
      <c r="AK6" s="128"/>
      <c r="AL6" s="129"/>
      <c r="AM6" s="128"/>
      <c r="AN6" s="132"/>
      <c r="AO6" s="132"/>
      <c r="AP6" s="129"/>
      <c r="AQ6" s="6" t="str">
        <f>TEXT(AQ5,"aaa")</f>
        <v>金</v>
      </c>
      <c r="AR6" s="6" t="str">
        <f t="shared" ref="AR6:AU6" si="2">TEXT(AR5,"aaa")</f>
        <v>土</v>
      </c>
      <c r="AS6" s="6" t="str">
        <f t="shared" si="2"/>
        <v>日</v>
      </c>
      <c r="AT6" s="6" t="str">
        <f t="shared" si="2"/>
        <v>月</v>
      </c>
      <c r="AU6" s="6" t="str">
        <f t="shared" si="2"/>
        <v>火</v>
      </c>
      <c r="AV6" s="6" t="str">
        <f>TEXT(AV5,"aaa")</f>
        <v>水</v>
      </c>
      <c r="AW6" s="6" t="str">
        <f t="shared" ref="AW6:DB6" si="3">TEXT(AW5,"aaa")</f>
        <v>木</v>
      </c>
      <c r="AX6" s="6" t="str">
        <f t="shared" si="3"/>
        <v>金</v>
      </c>
      <c r="AY6" s="6" t="str">
        <f t="shared" si="3"/>
        <v>土</v>
      </c>
      <c r="AZ6" s="6" t="str">
        <f t="shared" si="3"/>
        <v>日</v>
      </c>
      <c r="BA6" s="19" t="str">
        <f t="shared" si="3"/>
        <v>月</v>
      </c>
      <c r="BB6" s="6" t="str">
        <f t="shared" si="3"/>
        <v>火</v>
      </c>
      <c r="BC6" s="6" t="str">
        <f t="shared" si="3"/>
        <v>水</v>
      </c>
      <c r="BD6" s="20" t="str">
        <f t="shared" si="3"/>
        <v>木</v>
      </c>
      <c r="BE6" s="20" t="str">
        <f t="shared" si="3"/>
        <v>金</v>
      </c>
      <c r="BF6" s="6" t="str">
        <f t="shared" si="3"/>
        <v>土</v>
      </c>
      <c r="BG6" s="6" t="str">
        <f t="shared" si="3"/>
        <v>日</v>
      </c>
      <c r="BH6" s="6" t="str">
        <f t="shared" si="3"/>
        <v>月</v>
      </c>
      <c r="BI6" s="6" t="str">
        <f t="shared" si="3"/>
        <v>火</v>
      </c>
      <c r="BJ6" s="6" t="str">
        <f t="shared" si="3"/>
        <v>水</v>
      </c>
      <c r="BK6" s="6" t="str">
        <f t="shared" si="3"/>
        <v>木</v>
      </c>
      <c r="BL6" s="6" t="str">
        <f t="shared" si="3"/>
        <v>金</v>
      </c>
      <c r="BM6" s="6" t="str">
        <f t="shared" si="3"/>
        <v>土</v>
      </c>
      <c r="BN6" s="6" t="str">
        <f t="shared" si="3"/>
        <v>日</v>
      </c>
      <c r="BO6" s="19" t="str">
        <f t="shared" si="3"/>
        <v>月</v>
      </c>
      <c r="BP6" s="6" t="str">
        <f t="shared" si="3"/>
        <v>火</v>
      </c>
      <c r="BQ6" s="6" t="str">
        <f t="shared" si="3"/>
        <v>水</v>
      </c>
      <c r="BR6" s="6" t="str">
        <f t="shared" si="3"/>
        <v>木</v>
      </c>
      <c r="BS6" s="6" t="str">
        <f t="shared" si="3"/>
        <v>金</v>
      </c>
      <c r="BT6" s="6" t="str">
        <f t="shared" si="3"/>
        <v>土</v>
      </c>
      <c r="BU6" s="6" t="str">
        <f t="shared" si="3"/>
        <v>日</v>
      </c>
      <c r="BV6" s="6" t="str">
        <f t="shared" si="3"/>
        <v>月</v>
      </c>
      <c r="BW6" s="6" t="str">
        <f t="shared" si="3"/>
        <v>火</v>
      </c>
      <c r="BX6" s="6" t="str">
        <f t="shared" si="3"/>
        <v>水</v>
      </c>
      <c r="BY6" s="6" t="str">
        <f t="shared" si="3"/>
        <v>木</v>
      </c>
      <c r="BZ6" s="6" t="str">
        <f t="shared" si="3"/>
        <v>金</v>
      </c>
      <c r="CA6" s="6" t="str">
        <f t="shared" si="3"/>
        <v>土</v>
      </c>
      <c r="CB6" s="6" t="str">
        <f t="shared" si="3"/>
        <v>日</v>
      </c>
      <c r="CC6" s="6" t="str">
        <f t="shared" si="3"/>
        <v>月</v>
      </c>
      <c r="CD6" s="6" t="str">
        <f t="shared" si="3"/>
        <v>火</v>
      </c>
      <c r="CE6" s="6" t="str">
        <f t="shared" si="3"/>
        <v>水</v>
      </c>
      <c r="CF6" s="6" t="str">
        <f t="shared" si="3"/>
        <v>木</v>
      </c>
      <c r="CG6" s="6" t="str">
        <f t="shared" si="3"/>
        <v>金</v>
      </c>
      <c r="CH6" s="6" t="str">
        <f t="shared" si="3"/>
        <v>土</v>
      </c>
      <c r="CI6" s="6" t="str">
        <f t="shared" si="3"/>
        <v>日</v>
      </c>
      <c r="CJ6" s="19" t="str">
        <f t="shared" si="3"/>
        <v>月</v>
      </c>
      <c r="CK6" s="6" t="str">
        <f t="shared" si="3"/>
        <v>火</v>
      </c>
      <c r="CL6" s="6" t="str">
        <f t="shared" si="3"/>
        <v>水</v>
      </c>
      <c r="CM6" s="6" t="str">
        <f t="shared" si="3"/>
        <v>木</v>
      </c>
      <c r="CN6" s="6" t="str">
        <f t="shared" si="3"/>
        <v>金</v>
      </c>
      <c r="CO6" s="6" t="str">
        <f t="shared" si="3"/>
        <v>土</v>
      </c>
      <c r="CP6" s="6" t="str">
        <f t="shared" si="3"/>
        <v>日</v>
      </c>
      <c r="CQ6" s="6" t="str">
        <f t="shared" si="3"/>
        <v>月</v>
      </c>
      <c r="CR6" s="19" t="str">
        <f t="shared" si="3"/>
        <v>火</v>
      </c>
      <c r="CS6" s="6" t="str">
        <f t="shared" si="3"/>
        <v>水</v>
      </c>
      <c r="CT6" s="6" t="str">
        <f t="shared" si="3"/>
        <v>木</v>
      </c>
      <c r="CU6" s="6" t="str">
        <f t="shared" si="3"/>
        <v>金</v>
      </c>
      <c r="CV6" s="6" t="str">
        <f t="shared" si="3"/>
        <v>土</v>
      </c>
      <c r="CW6" s="6" t="str">
        <f t="shared" si="3"/>
        <v>日</v>
      </c>
      <c r="CX6" s="6" t="str">
        <f t="shared" si="3"/>
        <v>月</v>
      </c>
      <c r="CY6" s="6" t="str">
        <f t="shared" si="3"/>
        <v>火</v>
      </c>
      <c r="CZ6" s="6" t="str">
        <f t="shared" si="3"/>
        <v>水</v>
      </c>
      <c r="DA6" s="6" t="str">
        <f t="shared" si="3"/>
        <v>木</v>
      </c>
      <c r="DB6" s="6" t="str">
        <f t="shared" si="3"/>
        <v>金</v>
      </c>
      <c r="DD6" s="2"/>
    </row>
    <row r="7" spans="1:108" ht="18.75" customHeight="1">
      <c r="A7" s="65">
        <v>1</v>
      </c>
      <c r="B7" s="65"/>
      <c r="C7" s="69" t="s">
        <v>88</v>
      </c>
      <c r="D7" s="70"/>
      <c r="E7" s="70"/>
      <c r="F7" s="70"/>
      <c r="G7" s="71"/>
      <c r="H7" s="69" t="s">
        <v>89</v>
      </c>
      <c r="I7" s="70"/>
      <c r="J7" s="70"/>
      <c r="K7" s="70"/>
      <c r="L7" s="70"/>
      <c r="M7" s="70"/>
      <c r="N7" s="70"/>
      <c r="O7" s="71"/>
      <c r="P7" s="140" t="s">
        <v>78</v>
      </c>
      <c r="Q7" s="141"/>
      <c r="R7" s="142"/>
      <c r="S7" s="67">
        <v>45870</v>
      </c>
      <c r="T7" s="67"/>
      <c r="U7" s="67"/>
      <c r="V7" s="67">
        <v>45875</v>
      </c>
      <c r="W7" s="67"/>
      <c r="X7" s="67"/>
      <c r="Y7" s="67"/>
      <c r="Z7" s="67"/>
      <c r="AA7" s="67"/>
      <c r="AB7" s="67"/>
      <c r="AC7" s="67"/>
      <c r="AD7" s="67"/>
      <c r="AE7" s="68">
        <f>NETWORKDAYS(MIN(IFERROR(DATEVALUE(S7),S7), IFERROR(DATEVALUE(V7),V7)),MAX(IFERROR(DATEVALUE(S7),S7), IFERROR(DATEVALUE(V7),V7)),$DD$7:$DD$11)*11</f>
        <v>44</v>
      </c>
      <c r="AF7" s="58"/>
      <c r="AG7" s="72"/>
      <c r="AH7" s="73"/>
      <c r="AI7" s="74"/>
      <c r="AJ7" s="75"/>
      <c r="AK7" s="74"/>
      <c r="AL7" s="75"/>
      <c r="AM7" s="61">
        <f>AE7*AK7-AI7*AE7</f>
        <v>0</v>
      </c>
      <c r="AN7" s="62"/>
      <c r="AO7" s="62"/>
      <c r="AP7" s="63"/>
      <c r="AQ7" s="6"/>
      <c r="AR7" s="6"/>
      <c r="AS7" s="6"/>
      <c r="AT7" s="6"/>
      <c r="AU7" s="6"/>
      <c r="AV7" s="6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D7" s="32">
        <v>45880</v>
      </c>
    </row>
    <row r="8" spans="1:108" ht="18.75" customHeight="1">
      <c r="A8" s="65">
        <v>2</v>
      </c>
      <c r="B8" s="65"/>
      <c r="C8" s="69" t="s">
        <v>88</v>
      </c>
      <c r="D8" s="70"/>
      <c r="E8" s="70"/>
      <c r="F8" s="70"/>
      <c r="G8" s="71"/>
      <c r="H8" s="69" t="s">
        <v>90</v>
      </c>
      <c r="I8" s="70"/>
      <c r="J8" s="70"/>
      <c r="K8" s="70"/>
      <c r="L8" s="70"/>
      <c r="M8" s="70"/>
      <c r="N8" s="70"/>
      <c r="O8" s="71"/>
      <c r="P8" s="140" t="s">
        <v>78</v>
      </c>
      <c r="Q8" s="141"/>
      <c r="R8" s="142"/>
      <c r="S8" s="76">
        <v>45876</v>
      </c>
      <c r="T8" s="77"/>
      <c r="U8" s="78"/>
      <c r="V8" s="67">
        <v>45884</v>
      </c>
      <c r="W8" s="77"/>
      <c r="X8" s="78"/>
      <c r="Y8" s="67"/>
      <c r="Z8" s="67"/>
      <c r="AA8" s="67"/>
      <c r="AB8" s="67"/>
      <c r="AC8" s="67"/>
      <c r="AD8" s="67"/>
      <c r="AE8" s="68">
        <f t="shared" ref="AE8:AE28" si="4">NETWORKDAYS(MIN(IFERROR(DATEVALUE(S8),S8), IFERROR(DATEVALUE(V8),V8)),MAX(IFERROR(DATEVALUE(S8),S8), IFERROR(DATEVALUE(V8),V8)),$DD$7:$DD$11)*11</f>
        <v>66</v>
      </c>
      <c r="AF8" s="58"/>
      <c r="AG8" s="57"/>
      <c r="AH8" s="58"/>
      <c r="AI8" s="59"/>
      <c r="AJ8" s="60"/>
      <c r="AK8" s="59"/>
      <c r="AL8" s="60"/>
      <c r="AM8" s="61">
        <f t="shared" ref="AM8" si="5">AE8*AK8-AI8*AE8</f>
        <v>0</v>
      </c>
      <c r="AN8" s="62"/>
      <c r="AO8" s="62"/>
      <c r="AP8" s="63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D8" s="32">
        <v>45893</v>
      </c>
    </row>
    <row r="9" spans="1:108" ht="18.75" customHeight="1">
      <c r="A9" s="65">
        <v>3</v>
      </c>
      <c r="B9" s="65"/>
      <c r="C9" s="69" t="s">
        <v>88</v>
      </c>
      <c r="D9" s="70"/>
      <c r="E9" s="70"/>
      <c r="F9" s="70"/>
      <c r="G9" s="71"/>
      <c r="H9" s="69" t="s">
        <v>91</v>
      </c>
      <c r="I9" s="70"/>
      <c r="J9" s="70"/>
      <c r="K9" s="70"/>
      <c r="L9" s="70"/>
      <c r="M9" s="70"/>
      <c r="N9" s="70"/>
      <c r="O9" s="71"/>
      <c r="P9" s="140" t="s">
        <v>78</v>
      </c>
      <c r="Q9" s="141"/>
      <c r="R9" s="142"/>
      <c r="S9" s="76">
        <v>45887</v>
      </c>
      <c r="T9" s="77"/>
      <c r="U9" s="78"/>
      <c r="V9" s="67">
        <v>45890</v>
      </c>
      <c r="W9" s="77"/>
      <c r="X9" s="78"/>
      <c r="Y9" s="67"/>
      <c r="Z9" s="67"/>
      <c r="AA9" s="67"/>
      <c r="AB9" s="67"/>
      <c r="AC9" s="67"/>
      <c r="AD9" s="67"/>
      <c r="AE9" s="68">
        <f t="shared" si="4"/>
        <v>44</v>
      </c>
      <c r="AF9" s="58"/>
      <c r="AG9" s="72"/>
      <c r="AH9" s="73"/>
      <c r="AI9" s="74"/>
      <c r="AJ9" s="75"/>
      <c r="AK9" s="74"/>
      <c r="AL9" s="75"/>
      <c r="AM9" s="61">
        <f>AE9*AK9-AI9*AE9</f>
        <v>0</v>
      </c>
      <c r="AN9" s="62"/>
      <c r="AO9" s="62"/>
      <c r="AP9" s="63"/>
      <c r="AQ9" s="4"/>
      <c r="AR9" s="4"/>
      <c r="AS9" s="4"/>
      <c r="AT9" s="4"/>
      <c r="AU9" s="4"/>
      <c r="AV9" s="4"/>
      <c r="AW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D9" s="32">
        <v>45894</v>
      </c>
    </row>
    <row r="10" spans="1:108" ht="18.75" customHeight="1">
      <c r="A10" s="65">
        <v>4</v>
      </c>
      <c r="B10" s="65"/>
      <c r="C10" s="69" t="s">
        <v>88</v>
      </c>
      <c r="D10" s="70"/>
      <c r="E10" s="70"/>
      <c r="F10" s="70"/>
      <c r="G10" s="71"/>
      <c r="H10" s="69" t="s">
        <v>92</v>
      </c>
      <c r="I10" s="70"/>
      <c r="J10" s="70"/>
      <c r="K10" s="70"/>
      <c r="L10" s="70"/>
      <c r="M10" s="70"/>
      <c r="N10" s="70"/>
      <c r="O10" s="71"/>
      <c r="P10" s="140" t="s">
        <v>78</v>
      </c>
      <c r="Q10" s="141"/>
      <c r="R10" s="142"/>
      <c r="S10" s="67">
        <v>45891</v>
      </c>
      <c r="T10" s="67"/>
      <c r="U10" s="67"/>
      <c r="V10" s="67">
        <v>45897</v>
      </c>
      <c r="W10" s="67"/>
      <c r="X10" s="67"/>
      <c r="Y10" s="67"/>
      <c r="Z10" s="67"/>
      <c r="AA10" s="67"/>
      <c r="AB10" s="67"/>
      <c r="AC10" s="67"/>
      <c r="AD10" s="67"/>
      <c r="AE10" s="68">
        <f t="shared" si="4"/>
        <v>44</v>
      </c>
      <c r="AF10" s="58"/>
      <c r="AG10" s="72"/>
      <c r="AH10" s="73"/>
      <c r="AI10" s="74"/>
      <c r="AJ10" s="75"/>
      <c r="AK10" s="74"/>
      <c r="AL10" s="75"/>
      <c r="AM10" s="61">
        <f t="shared" ref="AM10:AM35" si="6">AE10*AK10-AI10*AE10</f>
        <v>0</v>
      </c>
      <c r="AN10" s="62"/>
      <c r="AO10" s="62"/>
      <c r="AP10" s="63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D10" s="56">
        <v>45915</v>
      </c>
    </row>
    <row r="11" spans="1:108" ht="18.75" customHeight="1">
      <c r="A11" s="65">
        <v>5</v>
      </c>
      <c r="B11" s="65"/>
      <c r="C11" s="69" t="s">
        <v>88</v>
      </c>
      <c r="D11" s="70"/>
      <c r="E11" s="70"/>
      <c r="F11" s="70"/>
      <c r="G11" s="71"/>
      <c r="H11" s="69" t="s">
        <v>93</v>
      </c>
      <c r="I11" s="70"/>
      <c r="J11" s="70"/>
      <c r="K11" s="70"/>
      <c r="L11" s="70"/>
      <c r="M11" s="70"/>
      <c r="N11" s="70"/>
      <c r="O11" s="71"/>
      <c r="P11" s="140" t="s">
        <v>78</v>
      </c>
      <c r="Q11" s="141"/>
      <c r="R11" s="142"/>
      <c r="S11" s="67">
        <v>45898</v>
      </c>
      <c r="T11" s="67"/>
      <c r="U11" s="67"/>
      <c r="V11" s="67">
        <v>45904</v>
      </c>
      <c r="W11" s="67"/>
      <c r="X11" s="67"/>
      <c r="Y11" s="67"/>
      <c r="Z11" s="67"/>
      <c r="AA11" s="67"/>
      <c r="AB11" s="67"/>
      <c r="AC11" s="67"/>
      <c r="AD11" s="67"/>
      <c r="AE11" s="68">
        <f t="shared" si="4"/>
        <v>55</v>
      </c>
      <c r="AF11" s="58"/>
      <c r="AG11" s="72"/>
      <c r="AH11" s="73"/>
      <c r="AI11" s="74"/>
      <c r="AJ11" s="75"/>
      <c r="AK11" s="74"/>
      <c r="AL11" s="75"/>
      <c r="AM11" s="61">
        <f t="shared" si="6"/>
        <v>0</v>
      </c>
      <c r="AN11" s="62"/>
      <c r="AO11" s="62"/>
      <c r="AP11" s="63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D11" s="56">
        <v>45923</v>
      </c>
    </row>
    <row r="12" spans="1:108" ht="18.75" customHeight="1">
      <c r="A12" s="65">
        <v>6</v>
      </c>
      <c r="B12" s="65"/>
      <c r="C12" s="69" t="s">
        <v>88</v>
      </c>
      <c r="D12" s="70"/>
      <c r="E12" s="70"/>
      <c r="F12" s="70"/>
      <c r="G12" s="71"/>
      <c r="H12" s="11" t="s">
        <v>149</v>
      </c>
      <c r="I12" s="12"/>
      <c r="J12" s="12"/>
      <c r="K12" s="12"/>
      <c r="L12" s="12"/>
      <c r="M12" s="12"/>
      <c r="N12" s="12"/>
      <c r="O12" s="13"/>
      <c r="P12" s="140" t="s">
        <v>78</v>
      </c>
      <c r="Q12" s="141"/>
      <c r="R12" s="142"/>
      <c r="S12" s="67">
        <v>45905</v>
      </c>
      <c r="T12" s="67"/>
      <c r="U12" s="67"/>
      <c r="V12" s="67">
        <v>45912</v>
      </c>
      <c r="W12" s="67"/>
      <c r="X12" s="67"/>
      <c r="Y12" s="67"/>
      <c r="Z12" s="67"/>
      <c r="AA12" s="67"/>
      <c r="AB12" s="67"/>
      <c r="AC12" s="67"/>
      <c r="AD12" s="67"/>
      <c r="AE12" s="68">
        <f t="shared" si="4"/>
        <v>66</v>
      </c>
      <c r="AF12" s="58"/>
      <c r="AG12" s="72"/>
      <c r="AH12" s="73"/>
      <c r="AI12" s="74"/>
      <c r="AJ12" s="75"/>
      <c r="AK12" s="74"/>
      <c r="AL12" s="75"/>
      <c r="AM12" s="61">
        <f t="shared" si="6"/>
        <v>0</v>
      </c>
      <c r="AN12" s="62"/>
      <c r="AO12" s="62"/>
      <c r="AP12" s="63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D12" s="33"/>
    </row>
    <row r="13" spans="1:108" ht="18.75" customHeight="1">
      <c r="A13" s="65">
        <v>7</v>
      </c>
      <c r="B13" s="65"/>
      <c r="C13" s="66" t="s">
        <v>94</v>
      </c>
      <c r="D13" s="66"/>
      <c r="E13" s="66"/>
      <c r="F13" s="66"/>
      <c r="G13" s="66"/>
      <c r="H13" s="69" t="s">
        <v>95</v>
      </c>
      <c r="I13" s="70"/>
      <c r="J13" s="70"/>
      <c r="K13" s="70"/>
      <c r="L13" s="70"/>
      <c r="M13" s="70"/>
      <c r="N13" s="70"/>
      <c r="O13" s="71"/>
      <c r="P13" s="144" t="s">
        <v>109</v>
      </c>
      <c r="Q13" s="145"/>
      <c r="R13" s="146"/>
      <c r="S13" s="67">
        <v>45870</v>
      </c>
      <c r="T13" s="67"/>
      <c r="U13" s="67"/>
      <c r="V13" s="67">
        <v>45876</v>
      </c>
      <c r="W13" s="67"/>
      <c r="X13" s="67"/>
      <c r="Y13" s="67"/>
      <c r="Z13" s="67"/>
      <c r="AA13" s="67"/>
      <c r="AB13" s="67"/>
      <c r="AC13" s="67"/>
      <c r="AD13" s="67"/>
      <c r="AE13" s="68">
        <f t="shared" si="4"/>
        <v>55</v>
      </c>
      <c r="AF13" s="58"/>
      <c r="AG13" s="72"/>
      <c r="AH13" s="73"/>
      <c r="AI13" s="74"/>
      <c r="AJ13" s="75"/>
      <c r="AK13" s="74"/>
      <c r="AL13" s="75"/>
      <c r="AM13" s="61">
        <f t="shared" si="6"/>
        <v>0</v>
      </c>
      <c r="AN13" s="62"/>
      <c r="AO13" s="62"/>
      <c r="AP13" s="63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D13" s="33"/>
    </row>
    <row r="14" spans="1:108" ht="18.75" customHeight="1">
      <c r="A14" s="65">
        <v>8</v>
      </c>
      <c r="B14" s="65"/>
      <c r="C14" s="66" t="s">
        <v>94</v>
      </c>
      <c r="D14" s="66"/>
      <c r="E14" s="66"/>
      <c r="F14" s="66"/>
      <c r="G14" s="66"/>
      <c r="H14" s="69" t="s">
        <v>96</v>
      </c>
      <c r="I14" s="70"/>
      <c r="J14" s="70"/>
      <c r="K14" s="70"/>
      <c r="L14" s="70"/>
      <c r="M14" s="70"/>
      <c r="N14" s="70"/>
      <c r="O14" s="71"/>
      <c r="P14" s="144" t="s">
        <v>109</v>
      </c>
      <c r="Q14" s="145"/>
      <c r="R14" s="146"/>
      <c r="S14" s="67">
        <v>45877</v>
      </c>
      <c r="T14" s="67"/>
      <c r="U14" s="67"/>
      <c r="V14" s="67">
        <v>45882</v>
      </c>
      <c r="W14" s="67"/>
      <c r="X14" s="67"/>
      <c r="Y14" s="67"/>
      <c r="Z14" s="67"/>
      <c r="AA14" s="67"/>
      <c r="AB14" s="67"/>
      <c r="AC14" s="67"/>
      <c r="AD14" s="67"/>
      <c r="AE14" s="68">
        <f t="shared" si="4"/>
        <v>33</v>
      </c>
      <c r="AF14" s="58"/>
      <c r="AG14" s="72"/>
      <c r="AH14" s="73"/>
      <c r="AI14" s="74"/>
      <c r="AJ14" s="75"/>
      <c r="AK14" s="74"/>
      <c r="AL14" s="75"/>
      <c r="AM14" s="61">
        <f t="shared" si="6"/>
        <v>0</v>
      </c>
      <c r="AN14" s="62"/>
      <c r="AO14" s="62"/>
      <c r="AP14" s="63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D14" s="33"/>
    </row>
    <row r="15" spans="1:108" ht="18.75" customHeight="1">
      <c r="A15" s="65">
        <v>9</v>
      </c>
      <c r="B15" s="65"/>
      <c r="C15" s="66" t="s">
        <v>94</v>
      </c>
      <c r="D15" s="66"/>
      <c r="E15" s="66"/>
      <c r="F15" s="66"/>
      <c r="G15" s="66"/>
      <c r="H15" s="11" t="s">
        <v>97</v>
      </c>
      <c r="I15" s="12"/>
      <c r="J15" s="12"/>
      <c r="K15" s="12"/>
      <c r="L15" s="12"/>
      <c r="M15" s="12"/>
      <c r="N15" s="12"/>
      <c r="O15" s="13"/>
      <c r="P15" s="147" t="s">
        <v>158</v>
      </c>
      <c r="Q15" s="147"/>
      <c r="R15" s="147"/>
      <c r="S15" s="67">
        <v>45870</v>
      </c>
      <c r="T15" s="67"/>
      <c r="U15" s="67"/>
      <c r="V15" s="67">
        <v>45875</v>
      </c>
      <c r="W15" s="67"/>
      <c r="X15" s="67"/>
      <c r="Y15" s="67"/>
      <c r="Z15" s="67"/>
      <c r="AA15" s="67"/>
      <c r="AB15" s="67"/>
      <c r="AC15" s="67"/>
      <c r="AD15" s="67"/>
      <c r="AE15" s="68">
        <f t="shared" si="4"/>
        <v>44</v>
      </c>
      <c r="AF15" s="58"/>
      <c r="AG15" s="72"/>
      <c r="AH15" s="73"/>
      <c r="AI15" s="74"/>
      <c r="AJ15" s="75"/>
      <c r="AK15" s="74"/>
      <c r="AL15" s="75"/>
      <c r="AM15" s="61">
        <f t="shared" si="6"/>
        <v>0</v>
      </c>
      <c r="AN15" s="62"/>
      <c r="AO15" s="62"/>
      <c r="AP15" s="63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D15" s="33"/>
    </row>
    <row r="16" spans="1:108" ht="18.75" customHeight="1">
      <c r="A16" s="65">
        <v>10</v>
      </c>
      <c r="B16" s="65"/>
      <c r="C16" s="66" t="s">
        <v>94</v>
      </c>
      <c r="D16" s="66"/>
      <c r="E16" s="66"/>
      <c r="F16" s="66"/>
      <c r="G16" s="66"/>
      <c r="H16" s="11" t="s">
        <v>150</v>
      </c>
      <c r="I16" s="12"/>
      <c r="J16" s="12"/>
      <c r="K16" s="12"/>
      <c r="L16" s="12"/>
      <c r="M16" s="12"/>
      <c r="N16" s="12"/>
      <c r="O16" s="13"/>
      <c r="P16" s="144" t="s">
        <v>109</v>
      </c>
      <c r="Q16" s="145"/>
      <c r="R16" s="146"/>
      <c r="S16" s="67">
        <v>45883</v>
      </c>
      <c r="T16" s="67"/>
      <c r="U16" s="67"/>
      <c r="V16" s="67">
        <v>45888</v>
      </c>
      <c r="W16" s="67"/>
      <c r="X16" s="67"/>
      <c r="Y16" s="67"/>
      <c r="Z16" s="67"/>
      <c r="AA16" s="67"/>
      <c r="AB16" s="67"/>
      <c r="AC16" s="67"/>
      <c r="AD16" s="67"/>
      <c r="AE16" s="68">
        <f t="shared" si="4"/>
        <v>44</v>
      </c>
      <c r="AF16" s="58"/>
      <c r="AG16" s="72"/>
      <c r="AH16" s="73"/>
      <c r="AI16" s="74"/>
      <c r="AJ16" s="75"/>
      <c r="AK16" s="74"/>
      <c r="AL16" s="75"/>
      <c r="AM16" s="61">
        <f t="shared" si="6"/>
        <v>0</v>
      </c>
      <c r="AN16" s="62"/>
      <c r="AO16" s="62"/>
      <c r="AP16" s="63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D16" s="33"/>
    </row>
    <row r="17" spans="1:108" ht="18.75" customHeight="1">
      <c r="A17" s="65">
        <v>11</v>
      </c>
      <c r="B17" s="65"/>
      <c r="C17" s="66" t="s">
        <v>94</v>
      </c>
      <c r="D17" s="66"/>
      <c r="E17" s="66"/>
      <c r="F17" s="66"/>
      <c r="G17" s="66"/>
      <c r="H17" s="69" t="s">
        <v>99</v>
      </c>
      <c r="I17" s="70"/>
      <c r="J17" s="70"/>
      <c r="K17" s="70"/>
      <c r="L17" s="70"/>
      <c r="M17" s="70"/>
      <c r="N17" s="70"/>
      <c r="O17" s="71"/>
      <c r="P17" s="144" t="s">
        <v>109</v>
      </c>
      <c r="Q17" s="145"/>
      <c r="R17" s="146"/>
      <c r="S17" s="67">
        <v>45889</v>
      </c>
      <c r="T17" s="67"/>
      <c r="U17" s="67"/>
      <c r="V17" s="67">
        <v>45897</v>
      </c>
      <c r="W17" s="67"/>
      <c r="X17" s="67"/>
      <c r="Y17" s="67"/>
      <c r="Z17" s="67"/>
      <c r="AA17" s="67"/>
      <c r="AB17" s="67"/>
      <c r="AC17" s="67"/>
      <c r="AD17" s="67"/>
      <c r="AE17" s="68">
        <f t="shared" si="4"/>
        <v>66</v>
      </c>
      <c r="AF17" s="58"/>
      <c r="AG17" s="72"/>
      <c r="AH17" s="73"/>
      <c r="AI17" s="74"/>
      <c r="AJ17" s="75"/>
      <c r="AK17" s="74"/>
      <c r="AL17" s="75"/>
      <c r="AM17" s="61">
        <f t="shared" si="6"/>
        <v>0</v>
      </c>
      <c r="AN17" s="62"/>
      <c r="AO17" s="62"/>
      <c r="AP17" s="63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D17" s="33"/>
    </row>
    <row r="18" spans="1:108" ht="18.75" customHeight="1">
      <c r="A18" s="65">
        <v>12</v>
      </c>
      <c r="B18" s="65"/>
      <c r="C18" s="66" t="s">
        <v>94</v>
      </c>
      <c r="D18" s="66"/>
      <c r="E18" s="66"/>
      <c r="F18" s="66"/>
      <c r="G18" s="66"/>
      <c r="H18" s="69" t="s">
        <v>100</v>
      </c>
      <c r="I18" s="70"/>
      <c r="J18" s="70"/>
      <c r="K18" s="70"/>
      <c r="L18" s="70"/>
      <c r="M18" s="70"/>
      <c r="N18" s="70"/>
      <c r="O18" s="71"/>
      <c r="P18" s="144" t="s">
        <v>109</v>
      </c>
      <c r="Q18" s="145"/>
      <c r="R18" s="146"/>
      <c r="S18" s="67">
        <v>45898</v>
      </c>
      <c r="T18" s="67"/>
      <c r="U18" s="67"/>
      <c r="V18" s="67">
        <v>45901</v>
      </c>
      <c r="W18" s="67"/>
      <c r="X18" s="67"/>
      <c r="Y18" s="67"/>
      <c r="Z18" s="67"/>
      <c r="AA18" s="67"/>
      <c r="AB18" s="67"/>
      <c r="AC18" s="67"/>
      <c r="AD18" s="67"/>
      <c r="AE18" s="68">
        <f t="shared" si="4"/>
        <v>22</v>
      </c>
      <c r="AF18" s="58"/>
      <c r="AG18" s="72"/>
      <c r="AH18" s="73"/>
      <c r="AI18" s="74"/>
      <c r="AJ18" s="75"/>
      <c r="AK18" s="74"/>
      <c r="AL18" s="75"/>
      <c r="AM18" s="61">
        <f t="shared" si="6"/>
        <v>0</v>
      </c>
      <c r="AN18" s="62"/>
      <c r="AO18" s="62"/>
      <c r="AP18" s="63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D18" s="33"/>
    </row>
    <row r="19" spans="1:108" ht="18.75" customHeight="1">
      <c r="A19" s="65">
        <v>13</v>
      </c>
      <c r="B19" s="65"/>
      <c r="C19" s="66" t="s">
        <v>94</v>
      </c>
      <c r="D19" s="66"/>
      <c r="E19" s="66"/>
      <c r="F19" s="66"/>
      <c r="G19" s="66"/>
      <c r="H19" s="69" t="s">
        <v>101</v>
      </c>
      <c r="I19" s="70"/>
      <c r="J19" s="70"/>
      <c r="K19" s="70"/>
      <c r="L19" s="70"/>
      <c r="M19" s="70"/>
      <c r="N19" s="70"/>
      <c r="O19" s="71"/>
      <c r="P19" s="143" t="s">
        <v>109</v>
      </c>
      <c r="Q19" s="143"/>
      <c r="R19" s="143"/>
      <c r="S19" s="67">
        <v>45902</v>
      </c>
      <c r="T19" s="67"/>
      <c r="U19" s="67"/>
      <c r="V19" s="67">
        <v>45905</v>
      </c>
      <c r="W19" s="67"/>
      <c r="X19" s="67"/>
      <c r="Y19" s="67"/>
      <c r="Z19" s="67"/>
      <c r="AA19" s="67"/>
      <c r="AB19" s="67"/>
      <c r="AC19" s="67"/>
      <c r="AD19" s="67"/>
      <c r="AE19" s="68">
        <f t="shared" si="4"/>
        <v>44</v>
      </c>
      <c r="AF19" s="58"/>
      <c r="AG19" s="57"/>
      <c r="AH19" s="58"/>
      <c r="AI19" s="59"/>
      <c r="AJ19" s="60"/>
      <c r="AK19" s="59"/>
      <c r="AL19" s="60"/>
      <c r="AM19" s="61">
        <f t="shared" si="6"/>
        <v>0</v>
      </c>
      <c r="AN19" s="62"/>
      <c r="AO19" s="62"/>
      <c r="AP19" s="63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D19" s="33"/>
    </row>
    <row r="20" spans="1:108" ht="18.75" customHeight="1">
      <c r="A20" s="65">
        <v>14</v>
      </c>
      <c r="B20" s="65"/>
      <c r="C20" s="66" t="s">
        <v>94</v>
      </c>
      <c r="D20" s="66"/>
      <c r="E20" s="66"/>
      <c r="F20" s="66"/>
      <c r="G20" s="66"/>
      <c r="H20" s="69" t="s">
        <v>151</v>
      </c>
      <c r="I20" s="70"/>
      <c r="J20" s="70"/>
      <c r="K20" s="70"/>
      <c r="L20" s="70"/>
      <c r="M20" s="70"/>
      <c r="N20" s="70"/>
      <c r="O20" s="71"/>
      <c r="P20" s="143" t="s">
        <v>109</v>
      </c>
      <c r="Q20" s="143"/>
      <c r="R20" s="143"/>
      <c r="S20" s="67">
        <v>45908</v>
      </c>
      <c r="T20" s="67"/>
      <c r="U20" s="67"/>
      <c r="V20" s="67">
        <v>45912</v>
      </c>
      <c r="W20" s="67"/>
      <c r="X20" s="67"/>
      <c r="Y20" s="67"/>
      <c r="Z20" s="67"/>
      <c r="AA20" s="67"/>
      <c r="AB20" s="67"/>
      <c r="AC20" s="67"/>
      <c r="AD20" s="67"/>
      <c r="AE20" s="68">
        <f t="shared" si="4"/>
        <v>55</v>
      </c>
      <c r="AF20" s="58"/>
      <c r="AG20" s="57"/>
      <c r="AH20" s="58"/>
      <c r="AI20" s="59"/>
      <c r="AJ20" s="60"/>
      <c r="AK20" s="59"/>
      <c r="AL20" s="60"/>
      <c r="AM20" s="61">
        <f t="shared" si="6"/>
        <v>0</v>
      </c>
      <c r="AN20" s="62"/>
      <c r="AO20" s="62"/>
      <c r="AP20" s="63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D20" s="33"/>
    </row>
    <row r="21" spans="1:108" ht="18.75" customHeight="1">
      <c r="A21" s="65">
        <v>15</v>
      </c>
      <c r="B21" s="65"/>
      <c r="C21" s="66" t="s">
        <v>94</v>
      </c>
      <c r="D21" s="66"/>
      <c r="E21" s="66"/>
      <c r="F21" s="66"/>
      <c r="G21" s="66"/>
      <c r="H21" s="69" t="s">
        <v>152</v>
      </c>
      <c r="I21" s="70"/>
      <c r="J21" s="70"/>
      <c r="K21" s="70"/>
      <c r="L21" s="70"/>
      <c r="M21" s="70"/>
      <c r="N21" s="70"/>
      <c r="O21" s="71"/>
      <c r="P21" s="143" t="s">
        <v>109</v>
      </c>
      <c r="Q21" s="143"/>
      <c r="R21" s="143"/>
      <c r="S21" s="67">
        <v>45916</v>
      </c>
      <c r="T21" s="67"/>
      <c r="U21" s="67"/>
      <c r="V21" s="148">
        <v>45919</v>
      </c>
      <c r="W21" s="148"/>
      <c r="X21" s="148"/>
      <c r="Y21" s="67"/>
      <c r="Z21" s="67"/>
      <c r="AA21" s="67"/>
      <c r="AB21" s="67"/>
      <c r="AC21" s="67"/>
      <c r="AD21" s="67"/>
      <c r="AE21" s="68">
        <f t="shared" si="4"/>
        <v>44</v>
      </c>
      <c r="AF21" s="58"/>
      <c r="AG21" s="57"/>
      <c r="AH21" s="58"/>
      <c r="AI21" s="59"/>
      <c r="AJ21" s="60"/>
      <c r="AK21" s="59"/>
      <c r="AL21" s="60"/>
      <c r="AM21" s="61">
        <f t="shared" si="6"/>
        <v>0</v>
      </c>
      <c r="AN21" s="62"/>
      <c r="AO21" s="62"/>
      <c r="AP21" s="63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D21" s="33"/>
    </row>
    <row r="22" spans="1:108" ht="18.75" customHeight="1">
      <c r="A22" s="65">
        <v>16</v>
      </c>
      <c r="B22" s="65"/>
      <c r="C22" s="66" t="s">
        <v>102</v>
      </c>
      <c r="D22" s="66"/>
      <c r="E22" s="66"/>
      <c r="F22" s="66"/>
      <c r="G22" s="66"/>
      <c r="H22" s="69" t="s">
        <v>103</v>
      </c>
      <c r="I22" s="70"/>
      <c r="J22" s="70"/>
      <c r="K22" s="70"/>
      <c r="L22" s="70"/>
      <c r="M22" s="70"/>
      <c r="N22" s="70"/>
      <c r="O22" s="71"/>
      <c r="P22" s="147" t="s">
        <v>158</v>
      </c>
      <c r="Q22" s="147"/>
      <c r="R22" s="147"/>
      <c r="S22" s="67">
        <v>45876</v>
      </c>
      <c r="T22" s="67"/>
      <c r="U22" s="67"/>
      <c r="V22" s="67">
        <v>45877</v>
      </c>
      <c r="W22" s="67"/>
      <c r="X22" s="67"/>
      <c r="Y22" s="67"/>
      <c r="Z22" s="67"/>
      <c r="AA22" s="67"/>
      <c r="AB22" s="67"/>
      <c r="AC22" s="67"/>
      <c r="AD22" s="67"/>
      <c r="AE22" s="68">
        <f t="shared" si="4"/>
        <v>22</v>
      </c>
      <c r="AF22" s="58"/>
      <c r="AG22" s="57"/>
      <c r="AH22" s="58"/>
      <c r="AI22" s="59"/>
      <c r="AJ22" s="60"/>
      <c r="AK22" s="59"/>
      <c r="AL22" s="60"/>
      <c r="AM22" s="61">
        <f t="shared" si="6"/>
        <v>0</v>
      </c>
      <c r="AN22" s="62"/>
      <c r="AO22" s="62"/>
      <c r="AP22" s="63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T22" s="4"/>
      <c r="CU22" s="4"/>
      <c r="CV22" s="4"/>
      <c r="CW22" s="4"/>
      <c r="CX22" s="4"/>
      <c r="CY22" s="4"/>
      <c r="CZ22" s="4"/>
      <c r="DA22" s="4"/>
      <c r="DB22" s="4"/>
      <c r="DD22" s="33"/>
    </row>
    <row r="23" spans="1:108" ht="18.75" customHeight="1">
      <c r="A23" s="65">
        <v>17</v>
      </c>
      <c r="B23" s="65"/>
      <c r="C23" s="66" t="s">
        <v>102</v>
      </c>
      <c r="D23" s="66"/>
      <c r="E23" s="66"/>
      <c r="F23" s="66"/>
      <c r="G23" s="66"/>
      <c r="H23" s="69" t="s">
        <v>104</v>
      </c>
      <c r="I23" s="70"/>
      <c r="J23" s="70"/>
      <c r="K23" s="70"/>
      <c r="L23" s="70"/>
      <c r="M23" s="70"/>
      <c r="N23" s="70"/>
      <c r="O23" s="71"/>
      <c r="P23" s="149" t="s">
        <v>78</v>
      </c>
      <c r="Q23" s="149"/>
      <c r="R23" s="149"/>
      <c r="S23" s="67">
        <v>45916</v>
      </c>
      <c r="T23" s="67"/>
      <c r="U23" s="67"/>
      <c r="V23" s="148">
        <v>45919</v>
      </c>
      <c r="W23" s="148"/>
      <c r="X23" s="148"/>
      <c r="Y23" s="67"/>
      <c r="Z23" s="67"/>
      <c r="AA23" s="67"/>
      <c r="AB23" s="67"/>
      <c r="AC23" s="67"/>
      <c r="AD23" s="67"/>
      <c r="AE23" s="68">
        <f t="shared" si="4"/>
        <v>44</v>
      </c>
      <c r="AF23" s="58"/>
      <c r="AG23" s="57"/>
      <c r="AH23" s="58"/>
      <c r="AI23" s="59"/>
      <c r="AJ23" s="60"/>
      <c r="AK23" s="59"/>
      <c r="AL23" s="60"/>
      <c r="AM23" s="61">
        <f t="shared" si="6"/>
        <v>0</v>
      </c>
      <c r="AN23" s="62"/>
      <c r="AO23" s="62"/>
      <c r="AP23" s="63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D23" s="33"/>
    </row>
    <row r="24" spans="1:108" ht="18.75" customHeight="1">
      <c r="A24" s="65">
        <v>18</v>
      </c>
      <c r="B24" s="65"/>
      <c r="C24" s="66" t="s">
        <v>102</v>
      </c>
      <c r="D24" s="66"/>
      <c r="E24" s="66"/>
      <c r="F24" s="66"/>
      <c r="G24" s="66"/>
      <c r="H24" s="66" t="s">
        <v>153</v>
      </c>
      <c r="I24" s="66"/>
      <c r="J24" s="66"/>
      <c r="K24" s="66"/>
      <c r="L24" s="66"/>
      <c r="M24" s="66"/>
      <c r="N24" s="66"/>
      <c r="O24" s="66"/>
      <c r="P24" s="147" t="s">
        <v>158</v>
      </c>
      <c r="Q24" s="147"/>
      <c r="R24" s="147"/>
      <c r="S24" s="67">
        <v>45881</v>
      </c>
      <c r="T24" s="67"/>
      <c r="U24" s="67"/>
      <c r="V24" s="67">
        <v>45889</v>
      </c>
      <c r="W24" s="67"/>
      <c r="X24" s="67"/>
      <c r="Y24" s="67"/>
      <c r="Z24" s="67"/>
      <c r="AA24" s="67"/>
      <c r="AB24" s="67"/>
      <c r="AC24" s="67"/>
      <c r="AD24" s="67"/>
      <c r="AE24" s="68">
        <f t="shared" si="4"/>
        <v>77</v>
      </c>
      <c r="AF24" s="58"/>
      <c r="AG24" s="57"/>
      <c r="AH24" s="58"/>
      <c r="AI24" s="59"/>
      <c r="AJ24" s="60"/>
      <c r="AK24" s="59"/>
      <c r="AL24" s="60"/>
      <c r="AM24" s="61">
        <f t="shared" si="6"/>
        <v>0</v>
      </c>
      <c r="AN24" s="62"/>
      <c r="AO24" s="62"/>
      <c r="AP24" s="63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D24" s="33"/>
    </row>
    <row r="25" spans="1:108" ht="18.75" customHeight="1">
      <c r="A25" s="65">
        <v>19</v>
      </c>
      <c r="B25" s="65"/>
      <c r="C25" s="66" t="s">
        <v>102</v>
      </c>
      <c r="D25" s="66"/>
      <c r="E25" s="66"/>
      <c r="F25" s="66"/>
      <c r="G25" s="66"/>
      <c r="H25" s="66" t="s">
        <v>154</v>
      </c>
      <c r="I25" s="66"/>
      <c r="J25" s="66"/>
      <c r="K25" s="66"/>
      <c r="L25" s="66"/>
      <c r="M25" s="66"/>
      <c r="N25" s="66"/>
      <c r="O25" s="66"/>
      <c r="P25" s="147" t="s">
        <v>158</v>
      </c>
      <c r="Q25" s="147"/>
      <c r="R25" s="147"/>
      <c r="S25" s="67">
        <v>45890</v>
      </c>
      <c r="T25" s="67"/>
      <c r="U25" s="67"/>
      <c r="V25" s="67">
        <v>45898</v>
      </c>
      <c r="W25" s="67"/>
      <c r="X25" s="67"/>
      <c r="Y25" s="67"/>
      <c r="Z25" s="67"/>
      <c r="AA25" s="67"/>
      <c r="AB25" s="67"/>
      <c r="AC25" s="67"/>
      <c r="AD25" s="67"/>
      <c r="AE25" s="68">
        <f t="shared" si="4"/>
        <v>66</v>
      </c>
      <c r="AF25" s="58"/>
      <c r="AG25" s="57"/>
      <c r="AH25" s="58"/>
      <c r="AI25" s="59"/>
      <c r="AJ25" s="60"/>
      <c r="AK25" s="59"/>
      <c r="AL25" s="60"/>
      <c r="AM25" s="61">
        <f t="shared" si="6"/>
        <v>0</v>
      </c>
      <c r="AN25" s="62"/>
      <c r="AO25" s="62"/>
      <c r="AP25" s="63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D25" s="33"/>
    </row>
    <row r="26" spans="1:108" ht="18.75" customHeight="1">
      <c r="A26" s="65">
        <v>20</v>
      </c>
      <c r="B26" s="65"/>
      <c r="C26" s="66" t="s">
        <v>102</v>
      </c>
      <c r="D26" s="66"/>
      <c r="E26" s="66"/>
      <c r="F26" s="66"/>
      <c r="G26" s="66"/>
      <c r="H26" s="66" t="s">
        <v>155</v>
      </c>
      <c r="I26" s="66"/>
      <c r="J26" s="66"/>
      <c r="K26" s="66"/>
      <c r="L26" s="66"/>
      <c r="M26" s="66"/>
      <c r="N26" s="66"/>
      <c r="O26" s="66"/>
      <c r="P26" s="147" t="s">
        <v>158</v>
      </c>
      <c r="Q26" s="147"/>
      <c r="R26" s="147"/>
      <c r="S26" s="67">
        <v>45901</v>
      </c>
      <c r="T26" s="67"/>
      <c r="U26" s="67"/>
      <c r="V26" s="67">
        <v>45904</v>
      </c>
      <c r="W26" s="67"/>
      <c r="X26" s="67"/>
      <c r="Y26" s="67"/>
      <c r="Z26" s="67"/>
      <c r="AA26" s="67"/>
      <c r="AB26" s="67"/>
      <c r="AC26" s="67"/>
      <c r="AD26" s="67"/>
      <c r="AE26" s="68">
        <f t="shared" si="4"/>
        <v>44</v>
      </c>
      <c r="AF26" s="58"/>
      <c r="AG26" s="57"/>
      <c r="AH26" s="58"/>
      <c r="AI26" s="59"/>
      <c r="AJ26" s="60"/>
      <c r="AK26" s="59"/>
      <c r="AL26" s="60"/>
      <c r="AM26" s="61">
        <f t="shared" si="6"/>
        <v>0</v>
      </c>
      <c r="AN26" s="62"/>
      <c r="AO26" s="62"/>
      <c r="AP26" s="63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D26" s="33"/>
    </row>
    <row r="27" spans="1:108" ht="18.75" customHeight="1">
      <c r="A27" s="65">
        <v>21</v>
      </c>
      <c r="B27" s="65"/>
      <c r="C27" s="66" t="s">
        <v>102</v>
      </c>
      <c r="D27" s="66"/>
      <c r="E27" s="66"/>
      <c r="F27" s="66"/>
      <c r="G27" s="66"/>
      <c r="H27" s="66" t="s">
        <v>156</v>
      </c>
      <c r="I27" s="66"/>
      <c r="J27" s="66"/>
      <c r="K27" s="66"/>
      <c r="L27" s="66"/>
      <c r="M27" s="66"/>
      <c r="N27" s="66"/>
      <c r="O27" s="66"/>
      <c r="P27" s="147" t="s">
        <v>158</v>
      </c>
      <c r="Q27" s="147"/>
      <c r="R27" s="147"/>
      <c r="S27" s="67">
        <v>45905</v>
      </c>
      <c r="T27" s="67"/>
      <c r="U27" s="67"/>
      <c r="V27" s="67">
        <v>45910</v>
      </c>
      <c r="W27" s="67"/>
      <c r="X27" s="67"/>
      <c r="Y27" s="67"/>
      <c r="Z27" s="67"/>
      <c r="AA27" s="67"/>
      <c r="AB27" s="67"/>
      <c r="AC27" s="67"/>
      <c r="AD27" s="67"/>
      <c r="AE27" s="68">
        <f t="shared" si="4"/>
        <v>44</v>
      </c>
      <c r="AF27" s="58"/>
      <c r="AG27" s="57"/>
      <c r="AH27" s="58"/>
      <c r="AI27" s="59"/>
      <c r="AJ27" s="60"/>
      <c r="AK27" s="59"/>
      <c r="AL27" s="60"/>
      <c r="AM27" s="61">
        <f t="shared" si="6"/>
        <v>0</v>
      </c>
      <c r="AN27" s="62"/>
      <c r="AO27" s="62"/>
      <c r="AP27" s="63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D27" s="33"/>
    </row>
    <row r="28" spans="1:108" ht="18.75" customHeight="1">
      <c r="A28" s="65">
        <v>22</v>
      </c>
      <c r="B28" s="65"/>
      <c r="C28" s="66" t="s">
        <v>102</v>
      </c>
      <c r="D28" s="66"/>
      <c r="E28" s="66"/>
      <c r="F28" s="66"/>
      <c r="G28" s="66"/>
      <c r="H28" s="66" t="s">
        <v>157</v>
      </c>
      <c r="I28" s="66"/>
      <c r="J28" s="66"/>
      <c r="K28" s="66"/>
      <c r="L28" s="66"/>
      <c r="M28" s="66"/>
      <c r="N28" s="66"/>
      <c r="O28" s="66"/>
      <c r="P28" s="147" t="s">
        <v>158</v>
      </c>
      <c r="Q28" s="147"/>
      <c r="R28" s="147"/>
      <c r="S28" s="67">
        <v>45911</v>
      </c>
      <c r="T28" s="67"/>
      <c r="U28" s="67"/>
      <c r="V28" s="148">
        <v>45919</v>
      </c>
      <c r="W28" s="148"/>
      <c r="X28" s="148"/>
      <c r="Y28" s="67"/>
      <c r="Z28" s="67"/>
      <c r="AA28" s="67"/>
      <c r="AB28" s="67"/>
      <c r="AC28" s="67"/>
      <c r="AD28" s="67"/>
      <c r="AE28" s="68">
        <f t="shared" si="4"/>
        <v>66</v>
      </c>
      <c r="AF28" s="58"/>
      <c r="AG28" s="57"/>
      <c r="AH28" s="58"/>
      <c r="AI28" s="59"/>
      <c r="AJ28" s="60"/>
      <c r="AK28" s="59"/>
      <c r="AL28" s="60"/>
      <c r="AM28" s="61">
        <f t="shared" si="6"/>
        <v>0</v>
      </c>
      <c r="AN28" s="62"/>
      <c r="AO28" s="62"/>
      <c r="AP28" s="63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D28" s="33"/>
    </row>
    <row r="29" spans="1:108" ht="18.75" customHeight="1">
      <c r="A29" s="65"/>
      <c r="B29" s="65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8"/>
      <c r="AF29" s="58"/>
      <c r="AG29" s="57"/>
      <c r="AH29" s="58"/>
      <c r="AI29" s="59"/>
      <c r="AJ29" s="60"/>
      <c r="AK29" s="59"/>
      <c r="AL29" s="60"/>
      <c r="AM29" s="61">
        <f t="shared" si="6"/>
        <v>0</v>
      </c>
      <c r="AN29" s="62"/>
      <c r="AO29" s="62"/>
      <c r="AP29" s="63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D29" s="33"/>
    </row>
    <row r="30" spans="1:108" ht="18.75" customHeight="1">
      <c r="A30" s="65"/>
      <c r="B30" s="65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8"/>
      <c r="AF30" s="58"/>
      <c r="AG30" s="57"/>
      <c r="AH30" s="58"/>
      <c r="AI30" s="59"/>
      <c r="AJ30" s="60"/>
      <c r="AK30" s="59"/>
      <c r="AL30" s="60"/>
      <c r="AM30" s="61">
        <f t="shared" si="6"/>
        <v>0</v>
      </c>
      <c r="AN30" s="62"/>
      <c r="AO30" s="62"/>
      <c r="AP30" s="63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D30" s="33"/>
    </row>
    <row r="31" spans="1:108" ht="18.75" customHeight="1">
      <c r="A31" s="65"/>
      <c r="B31" s="65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8"/>
      <c r="AF31" s="58"/>
      <c r="AG31" s="57"/>
      <c r="AH31" s="58"/>
      <c r="AI31" s="59"/>
      <c r="AJ31" s="60"/>
      <c r="AK31" s="59"/>
      <c r="AL31" s="60"/>
      <c r="AM31" s="61">
        <f t="shared" si="6"/>
        <v>0</v>
      </c>
      <c r="AN31" s="62"/>
      <c r="AO31" s="62"/>
      <c r="AP31" s="63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D31" s="33"/>
    </row>
    <row r="32" spans="1:108" ht="18.75" customHeight="1">
      <c r="A32" s="65"/>
      <c r="B32" s="65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8"/>
      <c r="AF32" s="58"/>
      <c r="AG32" s="57"/>
      <c r="AH32" s="58"/>
      <c r="AI32" s="59"/>
      <c r="AJ32" s="60"/>
      <c r="AK32" s="59"/>
      <c r="AL32" s="60"/>
      <c r="AM32" s="61">
        <f t="shared" si="6"/>
        <v>0</v>
      </c>
      <c r="AN32" s="62"/>
      <c r="AO32" s="62"/>
      <c r="AP32" s="63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D32" s="33"/>
    </row>
    <row r="33" spans="1:108" ht="18.75" customHeight="1">
      <c r="A33" s="65"/>
      <c r="B33" s="65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8"/>
      <c r="AF33" s="58"/>
      <c r="AG33" s="57"/>
      <c r="AH33" s="58"/>
      <c r="AI33" s="59"/>
      <c r="AJ33" s="60"/>
      <c r="AK33" s="59"/>
      <c r="AL33" s="60"/>
      <c r="AM33" s="61">
        <f t="shared" si="6"/>
        <v>0</v>
      </c>
      <c r="AN33" s="62"/>
      <c r="AO33" s="62"/>
      <c r="AP33" s="63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D33" s="33"/>
    </row>
    <row r="34" spans="1:108" ht="18.75" customHeight="1">
      <c r="A34" s="65"/>
      <c r="B34" s="65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8"/>
      <c r="AF34" s="58"/>
      <c r="AG34" s="57"/>
      <c r="AH34" s="58"/>
      <c r="AI34" s="59"/>
      <c r="AJ34" s="60"/>
      <c r="AK34" s="59"/>
      <c r="AL34" s="60"/>
      <c r="AM34" s="61">
        <f t="shared" si="6"/>
        <v>0</v>
      </c>
      <c r="AN34" s="62"/>
      <c r="AO34" s="62"/>
      <c r="AP34" s="63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D34" s="33"/>
    </row>
    <row r="35" spans="1:108" ht="18.75" customHeight="1">
      <c r="A35" s="65"/>
      <c r="B35" s="65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8"/>
      <c r="AF35" s="58"/>
      <c r="AG35" s="57"/>
      <c r="AH35" s="58"/>
      <c r="AI35" s="59"/>
      <c r="AJ35" s="60"/>
      <c r="AK35" s="59"/>
      <c r="AL35" s="60"/>
      <c r="AM35" s="61">
        <f t="shared" si="6"/>
        <v>0</v>
      </c>
      <c r="AN35" s="62"/>
      <c r="AO35" s="62"/>
      <c r="AP35" s="63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D35" s="33"/>
    </row>
    <row r="36" spans="1:108" ht="18.75" customHeight="1">
      <c r="AM36" s="64">
        <f>SUM(AM8:AP35)</f>
        <v>0</v>
      </c>
      <c r="AN36" s="64"/>
      <c r="AO36" s="64"/>
      <c r="AP36" s="64"/>
      <c r="AQ36" s="1" t="s">
        <v>27</v>
      </c>
    </row>
    <row r="37" spans="1:108" ht="18.75" customHeight="1"/>
    <row r="38" spans="1:108" ht="18.75" customHeight="1"/>
    <row r="39" spans="1:108" ht="18.75" customHeight="1"/>
    <row r="40" spans="1:108" ht="18.75" customHeight="1"/>
    <row r="41" spans="1:108" ht="18.75" customHeight="1">
      <c r="K41"/>
    </row>
    <row r="42" spans="1:108" ht="18.75" customHeight="1">
      <c r="K42"/>
    </row>
    <row r="43" spans="1:108" ht="15" customHeight="1">
      <c r="K43"/>
      <c r="P43"/>
    </row>
    <row r="44" spans="1:108" ht="15" customHeight="1">
      <c r="K44"/>
      <c r="P44"/>
    </row>
    <row r="45" spans="1:108" ht="15" customHeight="1">
      <c r="K45"/>
      <c r="P45"/>
    </row>
    <row r="46" spans="1:108" ht="15" customHeight="1">
      <c r="K46"/>
    </row>
    <row r="47" spans="1:108" ht="15" customHeight="1">
      <c r="K47"/>
    </row>
    <row r="48" spans="1:108" ht="15" customHeight="1">
      <c r="K48"/>
    </row>
    <row r="49" spans="11:11" ht="15" customHeight="1">
      <c r="K49"/>
    </row>
    <row r="50" spans="11:11" ht="15" customHeight="1">
      <c r="K50"/>
    </row>
    <row r="51" spans="11:11" ht="15" customHeight="1">
      <c r="K51"/>
    </row>
    <row r="52" spans="11:11" ht="15" customHeight="1">
      <c r="K52"/>
    </row>
    <row r="53" spans="11:11" ht="15" customHeight="1">
      <c r="K53"/>
    </row>
    <row r="54" spans="11:11" ht="15" customHeight="1">
      <c r="K54"/>
    </row>
    <row r="55" spans="11:11" ht="15" customHeight="1">
      <c r="K55"/>
    </row>
    <row r="56" spans="11:11" ht="15" customHeight="1">
      <c r="K56"/>
    </row>
    <row r="57" spans="11:11" ht="15" customHeight="1">
      <c r="K57"/>
    </row>
    <row r="58" spans="11:11" ht="15" customHeight="1">
      <c r="K58"/>
    </row>
    <row r="59" spans="11:11" ht="15" customHeight="1">
      <c r="K59"/>
    </row>
    <row r="60" spans="11:11" ht="15" customHeight="1">
      <c r="K60"/>
    </row>
    <row r="61" spans="11:11" ht="15" customHeight="1">
      <c r="K61"/>
    </row>
    <row r="62" spans="11:11" ht="15" customHeight="1">
      <c r="K62"/>
    </row>
    <row r="63" spans="11:11" ht="15" customHeight="1">
      <c r="K63"/>
    </row>
    <row r="64" spans="11:11" ht="15" customHeight="1">
      <c r="K64"/>
    </row>
    <row r="65" spans="11:11" ht="15" customHeight="1">
      <c r="K65"/>
    </row>
    <row r="66" spans="11:11" ht="15" customHeight="1">
      <c r="K66"/>
    </row>
  </sheetData>
  <mergeCells count="405">
    <mergeCell ref="AM36:AP36"/>
    <mergeCell ref="V35:X35"/>
    <mergeCell ref="Y35:AA35"/>
    <mergeCell ref="AB35:AD35"/>
    <mergeCell ref="AE35:AF35"/>
    <mergeCell ref="AG35:AH35"/>
    <mergeCell ref="AI35:AJ35"/>
    <mergeCell ref="AE34:AF34"/>
    <mergeCell ref="AG34:AH34"/>
    <mergeCell ref="AI34:AJ34"/>
    <mergeCell ref="AK34:AL34"/>
    <mergeCell ref="AM34:AP34"/>
    <mergeCell ref="A35:B35"/>
    <mergeCell ref="C35:G35"/>
    <mergeCell ref="H35:O35"/>
    <mergeCell ref="P35:R35"/>
    <mergeCell ref="S35:U35"/>
    <mergeCell ref="AK35:AL35"/>
    <mergeCell ref="AM35:AP35"/>
    <mergeCell ref="A34:B34"/>
    <mergeCell ref="C34:G34"/>
    <mergeCell ref="H34:O34"/>
    <mergeCell ref="P34:R34"/>
    <mergeCell ref="S34:U34"/>
    <mergeCell ref="V34:X34"/>
    <mergeCell ref="Y34:AA34"/>
    <mergeCell ref="AB34:AD34"/>
    <mergeCell ref="V33:X33"/>
    <mergeCell ref="Y33:AA33"/>
    <mergeCell ref="AB33:AD33"/>
    <mergeCell ref="AE32:AF32"/>
    <mergeCell ref="AG32:AH32"/>
    <mergeCell ref="AI32:AJ32"/>
    <mergeCell ref="AK32:AL32"/>
    <mergeCell ref="AM32:AP32"/>
    <mergeCell ref="A33:B33"/>
    <mergeCell ref="C33:G33"/>
    <mergeCell ref="H33:O33"/>
    <mergeCell ref="P33:R33"/>
    <mergeCell ref="S33:U33"/>
    <mergeCell ref="AK33:AL33"/>
    <mergeCell ref="AM33:AP33"/>
    <mergeCell ref="AE33:AF33"/>
    <mergeCell ref="AG33:AH33"/>
    <mergeCell ref="AI33:AJ33"/>
    <mergeCell ref="A32:B32"/>
    <mergeCell ref="C32:G32"/>
    <mergeCell ref="H32:O32"/>
    <mergeCell ref="P32:R32"/>
    <mergeCell ref="S32:U32"/>
    <mergeCell ref="V32:X32"/>
    <mergeCell ref="Y32:AA32"/>
    <mergeCell ref="AB32:AD32"/>
    <mergeCell ref="V31:X31"/>
    <mergeCell ref="Y31:AA31"/>
    <mergeCell ref="AB31:AD31"/>
    <mergeCell ref="AE30:AF30"/>
    <mergeCell ref="AG30:AH30"/>
    <mergeCell ref="AI30:AJ30"/>
    <mergeCell ref="AK30:AL30"/>
    <mergeCell ref="AM30:AP30"/>
    <mergeCell ref="A31:B31"/>
    <mergeCell ref="C31:G31"/>
    <mergeCell ref="H31:O31"/>
    <mergeCell ref="P31:R31"/>
    <mergeCell ref="S31:U31"/>
    <mergeCell ref="AK31:AL31"/>
    <mergeCell ref="AM31:AP31"/>
    <mergeCell ref="AE31:AF31"/>
    <mergeCell ref="AG31:AH31"/>
    <mergeCell ref="AI31:AJ31"/>
    <mergeCell ref="A30:B30"/>
    <mergeCell ref="C30:G30"/>
    <mergeCell ref="H30:O30"/>
    <mergeCell ref="P30:R30"/>
    <mergeCell ref="S30:U30"/>
    <mergeCell ref="V30:X30"/>
    <mergeCell ref="Y30:AA30"/>
    <mergeCell ref="AB30:AD30"/>
    <mergeCell ref="V29:X29"/>
    <mergeCell ref="Y29:AA29"/>
    <mergeCell ref="AB29:AD29"/>
    <mergeCell ref="AE28:AF28"/>
    <mergeCell ref="AG28:AH28"/>
    <mergeCell ref="AI28:AJ28"/>
    <mergeCell ref="AK28:AL28"/>
    <mergeCell ref="AM28:AP28"/>
    <mergeCell ref="A29:B29"/>
    <mergeCell ref="C29:G29"/>
    <mergeCell ref="H29:O29"/>
    <mergeCell ref="P29:R29"/>
    <mergeCell ref="S29:U29"/>
    <mergeCell ref="AK29:AL29"/>
    <mergeCell ref="AM29:AP29"/>
    <mergeCell ref="AE29:AF29"/>
    <mergeCell ref="AG29:AH29"/>
    <mergeCell ref="AI29:AJ29"/>
    <mergeCell ref="A28:B28"/>
    <mergeCell ref="C28:G28"/>
    <mergeCell ref="H28:O28"/>
    <mergeCell ref="P28:R28"/>
    <mergeCell ref="S28:U28"/>
    <mergeCell ref="V28:X28"/>
    <mergeCell ref="Y28:AA28"/>
    <mergeCell ref="AB28:AD28"/>
    <mergeCell ref="V27:X27"/>
    <mergeCell ref="Y27:AA27"/>
    <mergeCell ref="AB27:AD27"/>
    <mergeCell ref="AE26:AF26"/>
    <mergeCell ref="AG26:AH26"/>
    <mergeCell ref="AI26:AJ26"/>
    <mergeCell ref="AK26:AL26"/>
    <mergeCell ref="AM26:AP26"/>
    <mergeCell ref="A27:B27"/>
    <mergeCell ref="C27:G27"/>
    <mergeCell ref="H27:O27"/>
    <mergeCell ref="P27:R27"/>
    <mergeCell ref="S27:U27"/>
    <mergeCell ref="AK27:AL27"/>
    <mergeCell ref="AM27:AP27"/>
    <mergeCell ref="AE27:AF27"/>
    <mergeCell ref="AG27:AH27"/>
    <mergeCell ref="AI27:AJ27"/>
    <mergeCell ref="A26:B26"/>
    <mergeCell ref="C26:G26"/>
    <mergeCell ref="H26:O26"/>
    <mergeCell ref="P26:R26"/>
    <mergeCell ref="S26:U26"/>
    <mergeCell ref="V26:X26"/>
    <mergeCell ref="Y26:AA26"/>
    <mergeCell ref="AB26:AD26"/>
    <mergeCell ref="V25:X25"/>
    <mergeCell ref="Y25:AA25"/>
    <mergeCell ref="AB25:AD25"/>
    <mergeCell ref="AE24:AF24"/>
    <mergeCell ref="AG24:AH24"/>
    <mergeCell ref="AI24:AJ24"/>
    <mergeCell ref="AK24:AL24"/>
    <mergeCell ref="AM24:AP24"/>
    <mergeCell ref="A25:B25"/>
    <mergeCell ref="C25:G25"/>
    <mergeCell ref="H25:O25"/>
    <mergeCell ref="P25:R25"/>
    <mergeCell ref="S25:U25"/>
    <mergeCell ref="AK25:AL25"/>
    <mergeCell ref="AM25:AP25"/>
    <mergeCell ref="AE25:AF25"/>
    <mergeCell ref="AG25:AH25"/>
    <mergeCell ref="AI25:AJ25"/>
    <mergeCell ref="A24:B24"/>
    <mergeCell ref="C24:G24"/>
    <mergeCell ref="H24:O24"/>
    <mergeCell ref="P24:R24"/>
    <mergeCell ref="S24:U24"/>
    <mergeCell ref="V24:X24"/>
    <mergeCell ref="Y24:AA24"/>
    <mergeCell ref="AB24:AD24"/>
    <mergeCell ref="V23:X23"/>
    <mergeCell ref="Y23:AA23"/>
    <mergeCell ref="AB23:AD23"/>
    <mergeCell ref="AE22:AF22"/>
    <mergeCell ref="AG22:AH22"/>
    <mergeCell ref="AI22:AJ22"/>
    <mergeCell ref="AK22:AL22"/>
    <mergeCell ref="AM22:AP22"/>
    <mergeCell ref="A23:B23"/>
    <mergeCell ref="C23:G23"/>
    <mergeCell ref="H23:O23"/>
    <mergeCell ref="P23:R23"/>
    <mergeCell ref="S23:U23"/>
    <mergeCell ref="AK23:AL23"/>
    <mergeCell ref="AM23:AP23"/>
    <mergeCell ref="AE23:AF23"/>
    <mergeCell ref="AG23:AH23"/>
    <mergeCell ref="AI23:AJ23"/>
    <mergeCell ref="A22:B22"/>
    <mergeCell ref="C22:G22"/>
    <mergeCell ref="H22:O22"/>
    <mergeCell ref="P22:R22"/>
    <mergeCell ref="S22:U22"/>
    <mergeCell ref="V22:X22"/>
    <mergeCell ref="Y22:AA22"/>
    <mergeCell ref="AB22:AD22"/>
    <mergeCell ref="V21:X21"/>
    <mergeCell ref="Y21:AA21"/>
    <mergeCell ref="AB21:AD21"/>
    <mergeCell ref="AE20:AF20"/>
    <mergeCell ref="AG20:AH20"/>
    <mergeCell ref="AI20:AJ20"/>
    <mergeCell ref="AK20:AL20"/>
    <mergeCell ref="AM20:AP20"/>
    <mergeCell ref="A21:B21"/>
    <mergeCell ref="C21:G21"/>
    <mergeCell ref="H21:O21"/>
    <mergeCell ref="P21:R21"/>
    <mergeCell ref="S21:U21"/>
    <mergeCell ref="AK21:AL21"/>
    <mergeCell ref="AM21:AP21"/>
    <mergeCell ref="AE21:AF21"/>
    <mergeCell ref="AG21:AH21"/>
    <mergeCell ref="AI21:AJ21"/>
    <mergeCell ref="A20:B20"/>
    <mergeCell ref="C20:G20"/>
    <mergeCell ref="H20:O20"/>
    <mergeCell ref="P20:R20"/>
    <mergeCell ref="S20:U20"/>
    <mergeCell ref="V20:X20"/>
    <mergeCell ref="Y20:AA20"/>
    <mergeCell ref="AB20:AD20"/>
    <mergeCell ref="V19:X19"/>
    <mergeCell ref="Y19:AA19"/>
    <mergeCell ref="AB19:AD19"/>
    <mergeCell ref="AK18:AL18"/>
    <mergeCell ref="AM18:AP18"/>
    <mergeCell ref="A19:B19"/>
    <mergeCell ref="C19:G19"/>
    <mergeCell ref="H19:O19"/>
    <mergeCell ref="P19:R19"/>
    <mergeCell ref="S19:U19"/>
    <mergeCell ref="AK19:AL19"/>
    <mergeCell ref="AM19:AP19"/>
    <mergeCell ref="AE19:AF19"/>
    <mergeCell ref="AG19:AH19"/>
    <mergeCell ref="AI19:AJ19"/>
    <mergeCell ref="A17:B17"/>
    <mergeCell ref="C17:G17"/>
    <mergeCell ref="H17:O17"/>
    <mergeCell ref="P17:R17"/>
    <mergeCell ref="S17:U17"/>
    <mergeCell ref="AK17:AL17"/>
    <mergeCell ref="AM17:AP17"/>
    <mergeCell ref="A18:B18"/>
    <mergeCell ref="C18:G18"/>
    <mergeCell ref="H18:O18"/>
    <mergeCell ref="P18:R18"/>
    <mergeCell ref="S18:U18"/>
    <mergeCell ref="V18:X18"/>
    <mergeCell ref="Y18:AA18"/>
    <mergeCell ref="AB18:AD18"/>
    <mergeCell ref="V17:X17"/>
    <mergeCell ref="Y17:AA17"/>
    <mergeCell ref="AB17:AD17"/>
    <mergeCell ref="AE17:AF17"/>
    <mergeCell ref="AG17:AH17"/>
    <mergeCell ref="AI17:AJ17"/>
    <mergeCell ref="AE18:AF18"/>
    <mergeCell ref="AG18:AH18"/>
    <mergeCell ref="AI18:AJ18"/>
    <mergeCell ref="AI15:AJ15"/>
    <mergeCell ref="AK15:AL15"/>
    <mergeCell ref="AM15:AP15"/>
    <mergeCell ref="A16:B16"/>
    <mergeCell ref="C16:G16"/>
    <mergeCell ref="P16:R16"/>
    <mergeCell ref="S16:U16"/>
    <mergeCell ref="V16:X16"/>
    <mergeCell ref="Y16:AA16"/>
    <mergeCell ref="AB16:AD16"/>
    <mergeCell ref="AE16:AF16"/>
    <mergeCell ref="AG16:AH16"/>
    <mergeCell ref="AI16:AJ16"/>
    <mergeCell ref="AK16:AL16"/>
    <mergeCell ref="AM16:AP16"/>
    <mergeCell ref="A15:B15"/>
    <mergeCell ref="C15:G15"/>
    <mergeCell ref="P15:R15"/>
    <mergeCell ref="S15:U15"/>
    <mergeCell ref="V15:X15"/>
    <mergeCell ref="Y15:AA15"/>
    <mergeCell ref="AB15:AD15"/>
    <mergeCell ref="AE15:AF15"/>
    <mergeCell ref="AG15:AH15"/>
    <mergeCell ref="Y14:AA14"/>
    <mergeCell ref="AB14:AD14"/>
    <mergeCell ref="AE14:AF14"/>
    <mergeCell ref="AG14:AH14"/>
    <mergeCell ref="AI14:AJ14"/>
    <mergeCell ref="AK14:AL14"/>
    <mergeCell ref="A14:B14"/>
    <mergeCell ref="C14:G14"/>
    <mergeCell ref="H14:O14"/>
    <mergeCell ref="P14:R14"/>
    <mergeCell ref="S14:U14"/>
    <mergeCell ref="V14:X14"/>
    <mergeCell ref="AE13:AF13"/>
    <mergeCell ref="AG13:AH13"/>
    <mergeCell ref="AI13:AJ13"/>
    <mergeCell ref="AK13:AL13"/>
    <mergeCell ref="AM13:AP13"/>
    <mergeCell ref="AI12:AJ12"/>
    <mergeCell ref="AK12:AL12"/>
    <mergeCell ref="AM12:AP12"/>
    <mergeCell ref="AM14:AP14"/>
    <mergeCell ref="A13:B13"/>
    <mergeCell ref="C13:G13"/>
    <mergeCell ref="H13:O13"/>
    <mergeCell ref="P13:R13"/>
    <mergeCell ref="S13:U13"/>
    <mergeCell ref="V13:X13"/>
    <mergeCell ref="Y13:AA13"/>
    <mergeCell ref="AM11:AP11"/>
    <mergeCell ref="A12:B12"/>
    <mergeCell ref="C12:G12"/>
    <mergeCell ref="P12:R12"/>
    <mergeCell ref="S12:U12"/>
    <mergeCell ref="V12:X12"/>
    <mergeCell ref="Y12:AA12"/>
    <mergeCell ref="AB12:AD12"/>
    <mergeCell ref="AE12:AF12"/>
    <mergeCell ref="AG12:AH12"/>
    <mergeCell ref="Y11:AA11"/>
    <mergeCell ref="AB11:AD11"/>
    <mergeCell ref="AE11:AF11"/>
    <mergeCell ref="AG11:AH11"/>
    <mergeCell ref="AI11:AJ11"/>
    <mergeCell ref="AK11:AL11"/>
    <mergeCell ref="AB13:AD13"/>
    <mergeCell ref="AG10:AH10"/>
    <mergeCell ref="AI10:AJ10"/>
    <mergeCell ref="AK10:AL10"/>
    <mergeCell ref="AM10:AP10"/>
    <mergeCell ref="A11:B11"/>
    <mergeCell ref="C11:G11"/>
    <mergeCell ref="H11:O11"/>
    <mergeCell ref="P11:R11"/>
    <mergeCell ref="S11:U11"/>
    <mergeCell ref="V11:X11"/>
    <mergeCell ref="A10:B10"/>
    <mergeCell ref="C10:G10"/>
    <mergeCell ref="H10:O10"/>
    <mergeCell ref="P10:R10"/>
    <mergeCell ref="S10:U10"/>
    <mergeCell ref="V10:X10"/>
    <mergeCell ref="Y10:AA10"/>
    <mergeCell ref="AB10:AD10"/>
    <mergeCell ref="AE10:AF10"/>
    <mergeCell ref="H7:O7"/>
    <mergeCell ref="P7:R7"/>
    <mergeCell ref="S7:U7"/>
    <mergeCell ref="V7:X7"/>
    <mergeCell ref="AG8:AH8"/>
    <mergeCell ref="AI8:AJ8"/>
    <mergeCell ref="AK8:AL8"/>
    <mergeCell ref="AM8:AP8"/>
    <mergeCell ref="A9:B9"/>
    <mergeCell ref="C9:G9"/>
    <mergeCell ref="H9:O9"/>
    <mergeCell ref="P9:R9"/>
    <mergeCell ref="S9:U9"/>
    <mergeCell ref="V9:X9"/>
    <mergeCell ref="AM9:AP9"/>
    <mergeCell ref="Y9:AA9"/>
    <mergeCell ref="AB9:AD9"/>
    <mergeCell ref="AE9:AF9"/>
    <mergeCell ref="AG9:AH9"/>
    <mergeCell ref="AI9:AJ9"/>
    <mergeCell ref="AK9:AL9"/>
    <mergeCell ref="S5:U6"/>
    <mergeCell ref="V5:X6"/>
    <mergeCell ref="Y5:AA6"/>
    <mergeCell ref="AB5:AD6"/>
    <mergeCell ref="AE5:AF6"/>
    <mergeCell ref="AG5:AH6"/>
    <mergeCell ref="AM7:AP7"/>
    <mergeCell ref="A8:B8"/>
    <mergeCell ref="C8:G8"/>
    <mergeCell ref="H8:O8"/>
    <mergeCell ref="P8:R8"/>
    <mergeCell ref="S8:U8"/>
    <mergeCell ref="V8:X8"/>
    <mergeCell ref="Y8:AA8"/>
    <mergeCell ref="AB8:AD8"/>
    <mergeCell ref="AE8:AF8"/>
    <mergeCell ref="Y7:AA7"/>
    <mergeCell ref="AB7:AD7"/>
    <mergeCell ref="AE7:AF7"/>
    <mergeCell ref="AG7:AH7"/>
    <mergeCell ref="AI7:AJ7"/>
    <mergeCell ref="AK7:AL7"/>
    <mergeCell ref="A7:B7"/>
    <mergeCell ref="C7:G7"/>
    <mergeCell ref="A4:B6"/>
    <mergeCell ref="C4:G6"/>
    <mergeCell ref="H4:O6"/>
    <mergeCell ref="P4:R6"/>
    <mergeCell ref="S4:X4"/>
    <mergeCell ref="Y4:AD4"/>
    <mergeCell ref="AQ1:AT1"/>
    <mergeCell ref="AU1:BA1"/>
    <mergeCell ref="S2:V2"/>
    <mergeCell ref="W2:AC2"/>
    <mergeCell ref="AD2:AG2"/>
    <mergeCell ref="AH2:AP2"/>
    <mergeCell ref="AQ2:AT2"/>
    <mergeCell ref="AU2:BA2"/>
    <mergeCell ref="A1:G2"/>
    <mergeCell ref="H1:R2"/>
    <mergeCell ref="S1:V1"/>
    <mergeCell ref="W1:AC1"/>
    <mergeCell ref="AD1:AG1"/>
    <mergeCell ref="AH1:AP1"/>
    <mergeCell ref="AE4:AH4"/>
    <mergeCell ref="AI4:AJ6"/>
    <mergeCell ref="AK4:AL6"/>
    <mergeCell ref="AM4:AP6"/>
  </mergeCells>
  <phoneticPr fontId="1"/>
  <conditionalFormatting sqref="AQ5:AQ6">
    <cfRule type="expression" dxfId="3" priority="1">
      <formula>TEXT(AQ5,"aaa")="日"</formula>
    </cfRule>
  </conditionalFormatting>
  <conditionalFormatting sqref="AQ4:DB4">
    <cfRule type="notContainsBlanks" dxfId="2" priority="4">
      <formula>LEN(TRIM(AQ4))&gt;0</formula>
    </cfRule>
  </conditionalFormatting>
  <conditionalFormatting sqref="AQ5:DB6">
    <cfRule type="expression" dxfId="1" priority="2">
      <formula>TEXT(AQ5,"aaa")="土"</formula>
    </cfRule>
  </conditionalFormatting>
  <conditionalFormatting sqref="AR5:DB6">
    <cfRule type="expression" dxfId="0" priority="3">
      <formula>TEXT(AR5,"aaa")="日"</formula>
    </cfRule>
  </conditionalFormatting>
  <pageMargins left="0.19685039370078741" right="0.19685039370078741" top="0.19685039370078741" bottom="0.19685039370078741" header="0.31496062992125984" footer="0.31496062992125984"/>
  <pageSetup paperSize="9" scale="70" orientation="landscape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11771-822B-40B1-9013-134EAE1462B8}">
  <sheetPr>
    <tabColor rgb="FFC00000"/>
  </sheetPr>
  <dimension ref="A1:U33"/>
  <sheetViews>
    <sheetView tabSelected="1" zoomScale="130" zoomScaleNormal="130" workbookViewId="0">
      <selection activeCell="S19" sqref="S19"/>
    </sheetView>
  </sheetViews>
  <sheetFormatPr baseColWidth="10" defaultColWidth="8.83203125" defaultRowHeight="15"/>
  <cols>
    <col min="3" max="3" width="0" hidden="1" customWidth="1"/>
    <col min="4" max="4" width="3.6640625" customWidth="1"/>
    <col min="5" max="5" width="12.83203125" customWidth="1"/>
    <col min="6" max="7" width="4" customWidth="1"/>
    <col min="8" max="9" width="8.5" customWidth="1"/>
    <col min="11" max="11" width="3.33203125" customWidth="1"/>
    <col min="12" max="12" width="10" bestFit="1" customWidth="1"/>
    <col min="13" max="13" width="9.5" bestFit="1" customWidth="1"/>
    <col min="14" max="14" width="11.33203125" customWidth="1"/>
    <col min="15" max="15" width="10.5" customWidth="1"/>
    <col min="16" max="16" width="14.33203125" customWidth="1"/>
    <col min="17" max="18" width="12.83203125" customWidth="1"/>
  </cols>
  <sheetData>
    <row r="1" spans="1:21">
      <c r="A1" t="s">
        <v>112</v>
      </c>
    </row>
    <row r="2" spans="1:21">
      <c r="A2" t="s">
        <v>54</v>
      </c>
    </row>
    <row r="3" spans="1:21">
      <c r="A3" s="16" t="s">
        <v>40</v>
      </c>
      <c r="B3" s="16"/>
      <c r="E3" s="16" t="s">
        <v>28</v>
      </c>
      <c r="I3" t="s">
        <v>127</v>
      </c>
      <c r="J3" s="16" t="s">
        <v>48</v>
      </c>
      <c r="L3" s="17" t="s">
        <v>36</v>
      </c>
      <c r="N3" s="17" t="s">
        <v>1</v>
      </c>
      <c r="O3" s="17" t="s">
        <v>35</v>
      </c>
      <c r="P3" s="24"/>
      <c r="Q3" s="44" t="s">
        <v>129</v>
      </c>
      <c r="R3" s="44"/>
    </row>
    <row r="4" spans="1:21" ht="18.5" customHeight="1">
      <c r="A4" t="s">
        <v>19</v>
      </c>
      <c r="B4" t="s">
        <v>41</v>
      </c>
      <c r="C4" s="14" t="s">
        <v>23</v>
      </c>
      <c r="D4" s="14" t="s">
        <v>133</v>
      </c>
      <c r="E4">
        <v>6</v>
      </c>
      <c r="F4" t="s">
        <v>47</v>
      </c>
      <c r="H4" s="54" t="s">
        <v>38</v>
      </c>
      <c r="I4">
        <f>E4*8</f>
        <v>48</v>
      </c>
      <c r="J4" t="s">
        <v>37</v>
      </c>
      <c r="L4" s="54" t="s">
        <v>38</v>
      </c>
      <c r="M4">
        <f>SUM(I4:I8)</f>
        <v>256</v>
      </c>
      <c r="N4" s="15">
        <v>45870</v>
      </c>
      <c r="O4" s="15">
        <v>45930</v>
      </c>
      <c r="P4" t="s">
        <v>142</v>
      </c>
      <c r="Q4">
        <v>39</v>
      </c>
    </row>
    <row r="5" spans="1:21">
      <c r="A5">
        <v>30</v>
      </c>
      <c r="B5" t="s">
        <v>42</v>
      </c>
      <c r="C5" t="s">
        <v>26</v>
      </c>
      <c r="D5" t="s">
        <v>131</v>
      </c>
      <c r="E5">
        <v>8</v>
      </c>
      <c r="F5" t="s">
        <v>47</v>
      </c>
      <c r="H5" s="54" t="s">
        <v>38</v>
      </c>
      <c r="I5">
        <f t="shared" ref="I5:I25" si="0">E5*8</f>
        <v>64</v>
      </c>
      <c r="L5" s="49" t="s">
        <v>39</v>
      </c>
      <c r="M5">
        <f>SUM(I11,I13,I14,I25)</f>
        <v>184</v>
      </c>
    </row>
    <row r="6" spans="1:21" ht="18" customHeight="1">
      <c r="B6" t="s">
        <v>43</v>
      </c>
      <c r="C6" s="14" t="s">
        <v>24</v>
      </c>
      <c r="D6" s="14" t="s">
        <v>131</v>
      </c>
      <c r="E6">
        <v>5</v>
      </c>
      <c r="F6" t="s">
        <v>47</v>
      </c>
      <c r="H6" s="54" t="s">
        <v>38</v>
      </c>
      <c r="I6">
        <f t="shared" si="0"/>
        <v>40</v>
      </c>
      <c r="L6" s="27" t="s">
        <v>125</v>
      </c>
      <c r="M6">
        <f>SUM(I11,I13,I14,I25)</f>
        <v>184</v>
      </c>
    </row>
    <row r="7" spans="1:21">
      <c r="B7" t="s">
        <v>44</v>
      </c>
      <c r="D7" t="s">
        <v>132</v>
      </c>
      <c r="E7">
        <v>6</v>
      </c>
      <c r="F7" t="s">
        <v>47</v>
      </c>
      <c r="H7" s="54" t="s">
        <v>38</v>
      </c>
      <c r="I7">
        <f t="shared" si="0"/>
        <v>48</v>
      </c>
      <c r="L7" s="55" t="s">
        <v>147</v>
      </c>
      <c r="M7">
        <f>SUM(I15,I16,I17,I18,I22)</f>
        <v>232</v>
      </c>
    </row>
    <row r="8" spans="1:21" ht="16">
      <c r="B8" t="s">
        <v>45</v>
      </c>
      <c r="D8" s="14" t="s">
        <v>134</v>
      </c>
      <c r="E8">
        <v>7</v>
      </c>
      <c r="F8" t="s">
        <v>47</v>
      </c>
      <c r="H8" s="54" t="s">
        <v>38</v>
      </c>
      <c r="I8">
        <f t="shared" si="0"/>
        <v>56</v>
      </c>
    </row>
    <row r="9" spans="1:21">
      <c r="E9" s="25">
        <f>SUM(E4:E8)</f>
        <v>32</v>
      </c>
    </row>
    <row r="11" spans="1:21">
      <c r="A11" t="s">
        <v>20</v>
      </c>
      <c r="B11" t="s">
        <v>21</v>
      </c>
      <c r="C11" t="s">
        <v>25</v>
      </c>
      <c r="E11">
        <v>7</v>
      </c>
      <c r="F11" t="s">
        <v>47</v>
      </c>
      <c r="H11" s="49" t="s">
        <v>39</v>
      </c>
      <c r="I11">
        <f t="shared" si="0"/>
        <v>56</v>
      </c>
      <c r="L11" s="43"/>
    </row>
    <row r="12" spans="1:21">
      <c r="A12">
        <v>40</v>
      </c>
      <c r="B12" t="s">
        <v>22</v>
      </c>
      <c r="E12">
        <v>4</v>
      </c>
      <c r="F12" t="s">
        <v>47</v>
      </c>
      <c r="H12" s="27" t="s">
        <v>125</v>
      </c>
      <c r="I12">
        <f t="shared" si="0"/>
        <v>32</v>
      </c>
    </row>
    <row r="13" spans="1:21">
      <c r="B13" t="s">
        <v>30</v>
      </c>
      <c r="E13">
        <v>6</v>
      </c>
      <c r="F13" t="s">
        <v>47</v>
      </c>
      <c r="H13" s="49" t="s">
        <v>39</v>
      </c>
      <c r="I13">
        <f t="shared" si="0"/>
        <v>48</v>
      </c>
    </row>
    <row r="14" spans="1:21">
      <c r="B14" t="s">
        <v>31</v>
      </c>
      <c r="E14">
        <v>5</v>
      </c>
      <c r="F14" t="s">
        <v>47</v>
      </c>
      <c r="H14" s="49" t="s">
        <v>39</v>
      </c>
      <c r="I14">
        <f t="shared" si="0"/>
        <v>40</v>
      </c>
    </row>
    <row r="15" spans="1:21">
      <c r="B15" t="s">
        <v>32</v>
      </c>
      <c r="E15">
        <v>8</v>
      </c>
      <c r="F15" t="s">
        <v>47</v>
      </c>
      <c r="H15" s="55" t="s">
        <v>147</v>
      </c>
      <c r="I15">
        <f t="shared" si="0"/>
        <v>64</v>
      </c>
      <c r="R15" s="36"/>
      <c r="T15" s="45"/>
      <c r="U15" s="45"/>
    </row>
    <row r="16" spans="1:21">
      <c r="B16" t="s">
        <v>33</v>
      </c>
      <c r="E16">
        <v>3</v>
      </c>
      <c r="F16" t="s">
        <v>47</v>
      </c>
      <c r="H16" s="55" t="s">
        <v>147</v>
      </c>
      <c r="I16">
        <f t="shared" si="0"/>
        <v>24</v>
      </c>
      <c r="Q16" s="42">
        <v>25</v>
      </c>
      <c r="R16" s="52">
        <v>28</v>
      </c>
      <c r="S16" s="53">
        <v>34</v>
      </c>
      <c r="T16" s="42" t="s">
        <v>47</v>
      </c>
    </row>
    <row r="17" spans="1:20">
      <c r="B17" t="s">
        <v>34</v>
      </c>
      <c r="E17">
        <v>5</v>
      </c>
      <c r="F17" t="s">
        <v>47</v>
      </c>
      <c r="H17" s="55" t="s">
        <v>147</v>
      </c>
      <c r="I17">
        <f t="shared" si="0"/>
        <v>40</v>
      </c>
      <c r="N17" s="21"/>
      <c r="P17" s="21"/>
      <c r="Q17" s="42">
        <v>4</v>
      </c>
      <c r="R17" s="52">
        <v>4</v>
      </c>
      <c r="S17" s="53">
        <v>3</v>
      </c>
      <c r="T17" s="42" t="s">
        <v>114</v>
      </c>
    </row>
    <row r="18" spans="1:20">
      <c r="B18" t="s">
        <v>144</v>
      </c>
      <c r="E18">
        <v>7</v>
      </c>
      <c r="F18" t="s">
        <v>47</v>
      </c>
      <c r="H18" s="55" t="s">
        <v>147</v>
      </c>
      <c r="I18">
        <f t="shared" si="0"/>
        <v>56</v>
      </c>
      <c r="N18" s="21"/>
      <c r="P18" s="21"/>
      <c r="Q18" s="42">
        <v>9</v>
      </c>
      <c r="R18" s="52">
        <v>8</v>
      </c>
      <c r="S18" s="53">
        <v>9</v>
      </c>
      <c r="T18" s="42" t="s">
        <v>115</v>
      </c>
    </row>
    <row r="19" spans="1:20">
      <c r="E19" s="25">
        <f>SUM(E11:E18)</f>
        <v>45</v>
      </c>
      <c r="Q19" s="42">
        <f>Q16*Q17*Q18</f>
        <v>900</v>
      </c>
      <c r="R19" s="52">
        <f>R16*R17*R18</f>
        <v>896</v>
      </c>
      <c r="S19" s="53">
        <f>S16*S17*S18</f>
        <v>918</v>
      </c>
      <c r="T19" s="42"/>
    </row>
    <row r="20" spans="1:20">
      <c r="M20" s="22"/>
    </row>
    <row r="21" spans="1:20">
      <c r="A21" t="s">
        <v>65</v>
      </c>
      <c r="B21" t="s">
        <v>66</v>
      </c>
      <c r="E21">
        <v>7</v>
      </c>
      <c r="F21" t="s">
        <v>47</v>
      </c>
      <c r="H21" s="27" t="s">
        <v>125</v>
      </c>
      <c r="I21">
        <f t="shared" si="0"/>
        <v>56</v>
      </c>
      <c r="M21" s="22"/>
    </row>
    <row r="22" spans="1:20">
      <c r="A22">
        <v>40</v>
      </c>
      <c r="B22" t="s">
        <v>67</v>
      </c>
      <c r="E22">
        <v>6</v>
      </c>
      <c r="F22" t="s">
        <v>47</v>
      </c>
      <c r="H22" s="55" t="s">
        <v>147</v>
      </c>
      <c r="I22">
        <f t="shared" si="0"/>
        <v>48</v>
      </c>
      <c r="M22" s="22"/>
    </row>
    <row r="23" spans="1:20">
      <c r="B23" t="s">
        <v>68</v>
      </c>
      <c r="E23">
        <v>9</v>
      </c>
      <c r="F23" t="s">
        <v>47</v>
      </c>
      <c r="H23" s="27" t="s">
        <v>125</v>
      </c>
      <c r="I23">
        <f t="shared" si="0"/>
        <v>72</v>
      </c>
      <c r="M23" s="22"/>
    </row>
    <row r="24" spans="1:20">
      <c r="B24" t="s">
        <v>69</v>
      </c>
      <c r="E24">
        <v>8</v>
      </c>
      <c r="F24" t="s">
        <v>47</v>
      </c>
      <c r="H24" s="27" t="s">
        <v>125</v>
      </c>
      <c r="I24">
        <f t="shared" si="0"/>
        <v>64</v>
      </c>
      <c r="M24" s="22"/>
    </row>
    <row r="25" spans="1:20">
      <c r="B25" t="s">
        <v>70</v>
      </c>
      <c r="E25">
        <v>5</v>
      </c>
      <c r="F25" t="s">
        <v>47</v>
      </c>
      <c r="H25" s="49" t="s">
        <v>39</v>
      </c>
      <c r="I25">
        <f t="shared" si="0"/>
        <v>40</v>
      </c>
      <c r="M25" s="22"/>
    </row>
    <row r="26" spans="1:20">
      <c r="E26" s="25">
        <f>SUM(E21:E25)</f>
        <v>35</v>
      </c>
      <c r="M26" s="22"/>
    </row>
    <row r="27" spans="1:20">
      <c r="M27" s="22"/>
    </row>
    <row r="28" spans="1:20">
      <c r="E28">
        <f>E9+E19+E26</f>
        <v>112</v>
      </c>
      <c r="I28" s="21">
        <f>SUM(I4:I25)</f>
        <v>896</v>
      </c>
      <c r="M28" s="22" t="s">
        <v>61</v>
      </c>
      <c r="N28" t="s">
        <v>60</v>
      </c>
    </row>
    <row r="29" spans="1:20">
      <c r="M29" s="23" t="s">
        <v>62</v>
      </c>
      <c r="N29" t="s">
        <v>58</v>
      </c>
      <c r="O29" t="s">
        <v>56</v>
      </c>
      <c r="Q29" s="21" t="s">
        <v>57</v>
      </c>
      <c r="R29" s="21"/>
    </row>
    <row r="30" spans="1:20">
      <c r="M30" s="22" t="s">
        <v>61</v>
      </c>
      <c r="N30" t="s">
        <v>59</v>
      </c>
      <c r="O30" t="s">
        <v>56</v>
      </c>
    </row>
    <row r="33" spans="5:8">
      <c r="E33" t="s">
        <v>72</v>
      </c>
      <c r="H33" t="s">
        <v>73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Sheet3</vt:lpstr>
      <vt:lpstr>スケジュール_ベース</vt:lpstr>
      <vt:lpstr>プラン１</vt:lpstr>
      <vt:lpstr>スケジュール_プラン１</vt:lpstr>
      <vt:lpstr>プラン２</vt:lpstr>
      <vt:lpstr>スケジュール_プラン2</vt:lpstr>
      <vt:lpstr>プラン3</vt:lpstr>
      <vt:lpstr>プラン4</vt:lpstr>
      <vt:lpstr>スケジュール_プラン4</vt:lpstr>
      <vt:lpstr>プラン5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2019-12-10T12:36:04Z</dcterms:created>
  <dcterms:modified xsi:type="dcterms:W3CDTF">2025-09-24T14:03:58Z</dcterms:modified>
</cp:coreProperties>
</file>